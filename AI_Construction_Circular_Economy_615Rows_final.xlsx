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72f64748c212bd8/Documents/"/>
    </mc:Choice>
  </mc:AlternateContent>
  <xr:revisionPtr revIDLastSave="2" documentId="14_{55203070-CE01-485E-A013-08FFA3BB227F}" xr6:coauthVersionLast="47" xr6:coauthVersionMax="47" xr10:uidLastSave="{8A53A56F-9419-449A-9012-AF1C55D0DC53}"/>
  <bookViews>
    <workbookView xWindow="44880" yWindow="-120" windowWidth="29040" windowHeight="15720" xr2:uid="{00000000-000D-0000-FFFF-FFFF00000000}"/>
  </bookViews>
  <sheets>
    <sheet name="AI Construction CE Dataset" sheetId="1" r:id="rId1"/>
    <sheet name="Formula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16" i="1" l="1"/>
  <c r="K616" i="1"/>
  <c r="M616" i="1" s="1"/>
  <c r="J616" i="1"/>
  <c r="L615" i="1"/>
  <c r="K615" i="1"/>
  <c r="M615" i="1" s="1"/>
  <c r="J615" i="1"/>
  <c r="L614" i="1"/>
  <c r="K614" i="1"/>
  <c r="M614" i="1" s="1"/>
  <c r="J614" i="1"/>
  <c r="L613" i="1"/>
  <c r="K613" i="1"/>
  <c r="M613" i="1" s="1"/>
  <c r="J613" i="1"/>
  <c r="L612" i="1"/>
  <c r="K612" i="1"/>
  <c r="M612" i="1" s="1"/>
  <c r="J612" i="1"/>
  <c r="L611" i="1"/>
  <c r="K611" i="1"/>
  <c r="M611" i="1" s="1"/>
  <c r="J611" i="1"/>
  <c r="L610" i="1"/>
  <c r="K610" i="1"/>
  <c r="M610" i="1" s="1"/>
  <c r="J610" i="1"/>
  <c r="L609" i="1"/>
  <c r="K609" i="1"/>
  <c r="M609" i="1" s="1"/>
  <c r="J609" i="1"/>
  <c r="L608" i="1"/>
  <c r="K608" i="1"/>
  <c r="M608" i="1" s="1"/>
  <c r="J608" i="1"/>
  <c r="L607" i="1"/>
  <c r="K607" i="1"/>
  <c r="M607" i="1" s="1"/>
  <c r="J607" i="1"/>
  <c r="L606" i="1"/>
  <c r="K606" i="1"/>
  <c r="M606" i="1" s="1"/>
  <c r="J606" i="1"/>
  <c r="L605" i="1"/>
  <c r="K605" i="1"/>
  <c r="M605" i="1" s="1"/>
  <c r="J605" i="1"/>
  <c r="L604" i="1"/>
  <c r="K604" i="1"/>
  <c r="M604" i="1" s="1"/>
  <c r="J604" i="1"/>
  <c r="L603" i="1"/>
  <c r="K603" i="1"/>
  <c r="M603" i="1" s="1"/>
  <c r="J603" i="1"/>
  <c r="L602" i="1"/>
  <c r="K602" i="1"/>
  <c r="M602" i="1" s="1"/>
  <c r="J602" i="1"/>
  <c r="L601" i="1"/>
  <c r="K601" i="1"/>
  <c r="M601" i="1" s="1"/>
  <c r="J601" i="1"/>
  <c r="L600" i="1"/>
  <c r="K600" i="1"/>
  <c r="M600" i="1" s="1"/>
  <c r="J600" i="1"/>
  <c r="L599" i="1"/>
  <c r="K599" i="1"/>
  <c r="M599" i="1" s="1"/>
  <c r="J599" i="1"/>
  <c r="L598" i="1"/>
  <c r="K598" i="1"/>
  <c r="M598" i="1" s="1"/>
  <c r="J598" i="1"/>
  <c r="L597" i="1"/>
  <c r="K597" i="1"/>
  <c r="M597" i="1" s="1"/>
  <c r="J597" i="1"/>
  <c r="L596" i="1"/>
  <c r="K596" i="1"/>
  <c r="M596" i="1" s="1"/>
  <c r="J596" i="1"/>
  <c r="L595" i="1"/>
  <c r="K595" i="1"/>
  <c r="M595" i="1" s="1"/>
  <c r="J595" i="1"/>
  <c r="L594" i="1"/>
  <c r="K594" i="1"/>
  <c r="M594" i="1" s="1"/>
  <c r="J594" i="1"/>
  <c r="L593" i="1"/>
  <c r="K593" i="1"/>
  <c r="M593" i="1" s="1"/>
  <c r="J593" i="1"/>
  <c r="L592" i="1"/>
  <c r="K592" i="1"/>
  <c r="M592" i="1" s="1"/>
  <c r="J592" i="1"/>
  <c r="L591" i="1"/>
  <c r="K591" i="1"/>
  <c r="M591" i="1" s="1"/>
  <c r="J591" i="1"/>
  <c r="L590" i="1"/>
  <c r="K590" i="1"/>
  <c r="M590" i="1" s="1"/>
  <c r="J590" i="1"/>
  <c r="L589" i="1"/>
  <c r="K589" i="1"/>
  <c r="M589" i="1" s="1"/>
  <c r="J589" i="1"/>
  <c r="L588" i="1"/>
  <c r="K588" i="1"/>
  <c r="M588" i="1" s="1"/>
  <c r="J588" i="1"/>
  <c r="L587" i="1"/>
  <c r="K587" i="1"/>
  <c r="M587" i="1" s="1"/>
  <c r="J587" i="1"/>
  <c r="L586" i="1"/>
  <c r="K586" i="1"/>
  <c r="M586" i="1" s="1"/>
  <c r="J586" i="1"/>
  <c r="L585" i="1"/>
  <c r="K585" i="1"/>
  <c r="M585" i="1" s="1"/>
  <c r="J585" i="1"/>
  <c r="L584" i="1"/>
  <c r="K584" i="1"/>
  <c r="M584" i="1" s="1"/>
  <c r="J584" i="1"/>
  <c r="L583" i="1"/>
  <c r="K583" i="1"/>
  <c r="M583" i="1" s="1"/>
  <c r="J583" i="1"/>
  <c r="L582" i="1"/>
  <c r="K582" i="1"/>
  <c r="M582" i="1" s="1"/>
  <c r="J582" i="1"/>
  <c r="L581" i="1"/>
  <c r="K581" i="1"/>
  <c r="M581" i="1" s="1"/>
  <c r="J581" i="1"/>
  <c r="L580" i="1"/>
  <c r="K580" i="1"/>
  <c r="M580" i="1" s="1"/>
  <c r="J580" i="1"/>
  <c r="L579" i="1"/>
  <c r="K579" i="1"/>
  <c r="M579" i="1" s="1"/>
  <c r="J579" i="1"/>
  <c r="L578" i="1"/>
  <c r="K578" i="1"/>
  <c r="M578" i="1" s="1"/>
  <c r="J578" i="1"/>
  <c r="L577" i="1"/>
  <c r="K577" i="1"/>
  <c r="M577" i="1" s="1"/>
  <c r="J577" i="1"/>
  <c r="L576" i="1"/>
  <c r="K576" i="1"/>
  <c r="M576" i="1" s="1"/>
  <c r="J576" i="1"/>
  <c r="L575" i="1"/>
  <c r="K575" i="1"/>
  <c r="M575" i="1" s="1"/>
  <c r="J575" i="1"/>
  <c r="L574" i="1"/>
  <c r="K574" i="1"/>
  <c r="M574" i="1" s="1"/>
  <c r="J574" i="1"/>
  <c r="L573" i="1"/>
  <c r="K573" i="1"/>
  <c r="M573" i="1" s="1"/>
  <c r="J573" i="1"/>
  <c r="L572" i="1"/>
  <c r="K572" i="1"/>
  <c r="M572" i="1" s="1"/>
  <c r="J572" i="1"/>
  <c r="L571" i="1"/>
  <c r="K571" i="1"/>
  <c r="M571" i="1" s="1"/>
  <c r="J571" i="1"/>
  <c r="L570" i="1"/>
  <c r="K570" i="1"/>
  <c r="M570" i="1" s="1"/>
  <c r="J570" i="1"/>
  <c r="L569" i="1"/>
  <c r="K569" i="1"/>
  <c r="M569" i="1" s="1"/>
  <c r="J569" i="1"/>
  <c r="L568" i="1"/>
  <c r="K568" i="1"/>
  <c r="M568" i="1" s="1"/>
  <c r="J568" i="1"/>
  <c r="L567" i="1"/>
  <c r="K567" i="1"/>
  <c r="M567" i="1" s="1"/>
  <c r="J567" i="1"/>
  <c r="L566" i="1"/>
  <c r="K566" i="1"/>
  <c r="M566" i="1" s="1"/>
  <c r="J566" i="1"/>
  <c r="L565" i="1"/>
  <c r="K565" i="1"/>
  <c r="M565" i="1" s="1"/>
  <c r="J565" i="1"/>
  <c r="L564" i="1"/>
  <c r="K564" i="1"/>
  <c r="M564" i="1" s="1"/>
  <c r="J564" i="1"/>
  <c r="L563" i="1"/>
  <c r="K563" i="1"/>
  <c r="M563" i="1" s="1"/>
  <c r="J563" i="1"/>
  <c r="L562" i="1"/>
  <c r="K562" i="1"/>
  <c r="M562" i="1" s="1"/>
  <c r="J562" i="1"/>
  <c r="L561" i="1"/>
  <c r="K561" i="1"/>
  <c r="M561" i="1" s="1"/>
  <c r="J561" i="1"/>
  <c r="L560" i="1"/>
  <c r="K560" i="1"/>
  <c r="M560" i="1" s="1"/>
  <c r="J560" i="1"/>
  <c r="L559" i="1"/>
  <c r="K559" i="1"/>
  <c r="M559" i="1" s="1"/>
  <c r="J559" i="1"/>
  <c r="L558" i="1"/>
  <c r="K558" i="1"/>
  <c r="M558" i="1" s="1"/>
  <c r="J558" i="1"/>
  <c r="L557" i="1"/>
  <c r="K557" i="1"/>
  <c r="M557" i="1" s="1"/>
  <c r="J557" i="1"/>
  <c r="L556" i="1"/>
  <c r="K556" i="1"/>
  <c r="M556" i="1" s="1"/>
  <c r="J556" i="1"/>
  <c r="L555" i="1"/>
  <c r="K555" i="1"/>
  <c r="M555" i="1" s="1"/>
  <c r="J555" i="1"/>
  <c r="L554" i="1"/>
  <c r="K554" i="1"/>
  <c r="M554" i="1" s="1"/>
  <c r="J554" i="1"/>
  <c r="L553" i="1"/>
  <c r="K553" i="1"/>
  <c r="M553" i="1" s="1"/>
  <c r="J553" i="1"/>
  <c r="L552" i="1"/>
  <c r="K552" i="1"/>
  <c r="M552" i="1" s="1"/>
  <c r="J552" i="1"/>
  <c r="L551" i="1"/>
  <c r="K551" i="1"/>
  <c r="M551" i="1" s="1"/>
  <c r="J551" i="1"/>
  <c r="L550" i="1"/>
  <c r="K550" i="1"/>
  <c r="M550" i="1" s="1"/>
  <c r="J550" i="1"/>
  <c r="L549" i="1"/>
  <c r="K549" i="1"/>
  <c r="M549" i="1" s="1"/>
  <c r="J549" i="1"/>
  <c r="L548" i="1"/>
  <c r="K548" i="1"/>
  <c r="M548" i="1" s="1"/>
  <c r="J548" i="1"/>
  <c r="L547" i="1"/>
  <c r="K547" i="1"/>
  <c r="M547" i="1" s="1"/>
  <c r="J547" i="1"/>
  <c r="L546" i="1"/>
  <c r="K546" i="1"/>
  <c r="M546" i="1" s="1"/>
  <c r="J546" i="1"/>
  <c r="L545" i="1"/>
  <c r="K545" i="1"/>
  <c r="M545" i="1" s="1"/>
  <c r="J545" i="1"/>
  <c r="L544" i="1"/>
  <c r="K544" i="1"/>
  <c r="M544" i="1" s="1"/>
  <c r="J544" i="1"/>
  <c r="L543" i="1"/>
  <c r="K543" i="1"/>
  <c r="M543" i="1" s="1"/>
  <c r="J543" i="1"/>
  <c r="L542" i="1"/>
  <c r="K542" i="1"/>
  <c r="M542" i="1" s="1"/>
  <c r="J542" i="1"/>
  <c r="L541" i="1"/>
  <c r="K541" i="1"/>
  <c r="M541" i="1" s="1"/>
  <c r="J541" i="1"/>
  <c r="L540" i="1"/>
  <c r="K540" i="1"/>
  <c r="M540" i="1" s="1"/>
  <c r="J540" i="1"/>
  <c r="L539" i="1"/>
  <c r="K539" i="1"/>
  <c r="M539" i="1" s="1"/>
  <c r="J539" i="1"/>
  <c r="L538" i="1"/>
  <c r="K538" i="1"/>
  <c r="M538" i="1" s="1"/>
  <c r="J538" i="1"/>
  <c r="L537" i="1"/>
  <c r="K537" i="1"/>
  <c r="M537" i="1" s="1"/>
  <c r="J537" i="1"/>
  <c r="L536" i="1"/>
  <c r="K536" i="1"/>
  <c r="M536" i="1" s="1"/>
  <c r="J536" i="1"/>
  <c r="L535" i="1"/>
  <c r="K535" i="1"/>
  <c r="M535" i="1" s="1"/>
  <c r="J535" i="1"/>
  <c r="L534" i="1"/>
  <c r="K534" i="1"/>
  <c r="M534" i="1" s="1"/>
  <c r="J534" i="1"/>
  <c r="L533" i="1"/>
  <c r="K533" i="1"/>
  <c r="M533" i="1" s="1"/>
  <c r="J533" i="1"/>
  <c r="L532" i="1"/>
  <c r="K532" i="1"/>
  <c r="M532" i="1" s="1"/>
  <c r="J532" i="1"/>
  <c r="L531" i="1"/>
  <c r="K531" i="1"/>
  <c r="M531" i="1" s="1"/>
  <c r="J531" i="1"/>
  <c r="L530" i="1"/>
  <c r="K530" i="1"/>
  <c r="M530" i="1" s="1"/>
  <c r="J530" i="1"/>
  <c r="L529" i="1"/>
  <c r="K529" i="1"/>
  <c r="M529" i="1" s="1"/>
  <c r="J529" i="1"/>
  <c r="L528" i="1"/>
  <c r="K528" i="1"/>
  <c r="M528" i="1" s="1"/>
  <c r="J528" i="1"/>
  <c r="L527" i="1"/>
  <c r="K527" i="1"/>
  <c r="M527" i="1" s="1"/>
  <c r="J527" i="1"/>
  <c r="L526" i="1"/>
  <c r="K526" i="1"/>
  <c r="M526" i="1" s="1"/>
  <c r="J526" i="1"/>
  <c r="L525" i="1"/>
  <c r="K525" i="1"/>
  <c r="M525" i="1" s="1"/>
  <c r="J525" i="1"/>
  <c r="L524" i="1"/>
  <c r="K524" i="1"/>
  <c r="M524" i="1" s="1"/>
  <c r="J524" i="1"/>
  <c r="L523" i="1"/>
  <c r="K523" i="1"/>
  <c r="M523" i="1" s="1"/>
  <c r="J523" i="1"/>
  <c r="L522" i="1"/>
  <c r="K522" i="1"/>
  <c r="M522" i="1" s="1"/>
  <c r="J522" i="1"/>
  <c r="L521" i="1"/>
  <c r="K521" i="1"/>
  <c r="M521" i="1" s="1"/>
  <c r="J521" i="1"/>
  <c r="L520" i="1"/>
  <c r="K520" i="1"/>
  <c r="M520" i="1" s="1"/>
  <c r="J520" i="1"/>
  <c r="L519" i="1"/>
  <c r="K519" i="1"/>
  <c r="M519" i="1" s="1"/>
  <c r="J519" i="1"/>
  <c r="L518" i="1"/>
  <c r="K518" i="1"/>
  <c r="M518" i="1" s="1"/>
  <c r="J518" i="1"/>
  <c r="L517" i="1"/>
  <c r="K517" i="1"/>
  <c r="M517" i="1" s="1"/>
  <c r="J517" i="1"/>
  <c r="L516" i="1"/>
  <c r="K516" i="1"/>
  <c r="M516" i="1" s="1"/>
  <c r="J516" i="1"/>
  <c r="L515" i="1"/>
  <c r="K515" i="1"/>
  <c r="M515" i="1" s="1"/>
  <c r="J515" i="1"/>
  <c r="L514" i="1"/>
  <c r="K514" i="1"/>
  <c r="M514" i="1" s="1"/>
  <c r="J514" i="1"/>
  <c r="L513" i="1"/>
  <c r="K513" i="1"/>
  <c r="M513" i="1" s="1"/>
  <c r="J513" i="1"/>
  <c r="L512" i="1"/>
  <c r="K512" i="1"/>
  <c r="M512" i="1" s="1"/>
  <c r="J512" i="1"/>
  <c r="L511" i="1"/>
  <c r="K511" i="1"/>
  <c r="M511" i="1" s="1"/>
  <c r="J511" i="1"/>
  <c r="L510" i="1"/>
  <c r="K510" i="1"/>
  <c r="M510" i="1" s="1"/>
  <c r="J510" i="1"/>
  <c r="L509" i="1"/>
  <c r="K509" i="1"/>
  <c r="M509" i="1" s="1"/>
  <c r="J509" i="1"/>
  <c r="L508" i="1"/>
  <c r="K508" i="1"/>
  <c r="M508" i="1" s="1"/>
  <c r="J508" i="1"/>
  <c r="L507" i="1"/>
  <c r="K507" i="1"/>
  <c r="M507" i="1" s="1"/>
  <c r="J507" i="1"/>
  <c r="L506" i="1"/>
  <c r="K506" i="1"/>
  <c r="M506" i="1" s="1"/>
  <c r="J506" i="1"/>
  <c r="L505" i="1"/>
  <c r="K505" i="1"/>
  <c r="M505" i="1" s="1"/>
  <c r="J505" i="1"/>
  <c r="L504" i="1"/>
  <c r="K504" i="1"/>
  <c r="M504" i="1" s="1"/>
  <c r="J504" i="1"/>
  <c r="L503" i="1"/>
  <c r="K503" i="1"/>
  <c r="M503" i="1" s="1"/>
  <c r="J503" i="1"/>
  <c r="L502" i="1"/>
  <c r="K502" i="1"/>
  <c r="M502" i="1" s="1"/>
  <c r="J502" i="1"/>
  <c r="L501" i="1"/>
  <c r="K501" i="1"/>
  <c r="M501" i="1" s="1"/>
  <c r="J501" i="1"/>
  <c r="L500" i="1"/>
  <c r="K500" i="1"/>
  <c r="M500" i="1" s="1"/>
  <c r="J500" i="1"/>
  <c r="L499" i="1"/>
  <c r="K499" i="1"/>
  <c r="M499" i="1" s="1"/>
  <c r="J499" i="1"/>
  <c r="L498" i="1"/>
  <c r="K498" i="1"/>
  <c r="M498" i="1" s="1"/>
  <c r="J498" i="1"/>
  <c r="L497" i="1"/>
  <c r="K497" i="1"/>
  <c r="M497" i="1" s="1"/>
  <c r="J497" i="1"/>
  <c r="L496" i="1"/>
  <c r="K496" i="1"/>
  <c r="M496" i="1" s="1"/>
  <c r="J496" i="1"/>
  <c r="L495" i="1"/>
  <c r="K495" i="1"/>
  <c r="M495" i="1" s="1"/>
  <c r="J495" i="1"/>
  <c r="L494" i="1"/>
  <c r="K494" i="1"/>
  <c r="M494" i="1" s="1"/>
  <c r="J494" i="1"/>
  <c r="L493" i="1"/>
  <c r="K493" i="1"/>
  <c r="M493" i="1" s="1"/>
  <c r="J493" i="1"/>
  <c r="L492" i="1"/>
  <c r="K492" i="1"/>
  <c r="M492" i="1" s="1"/>
  <c r="J492" i="1"/>
  <c r="L491" i="1"/>
  <c r="K491" i="1"/>
  <c r="M491" i="1" s="1"/>
  <c r="J491" i="1"/>
  <c r="L490" i="1"/>
  <c r="M490" i="1" s="1"/>
  <c r="K490" i="1"/>
  <c r="J490" i="1"/>
  <c r="L489" i="1"/>
  <c r="K489" i="1"/>
  <c r="M489" i="1" s="1"/>
  <c r="J489" i="1"/>
  <c r="L488" i="1"/>
  <c r="K488" i="1"/>
  <c r="M488" i="1" s="1"/>
  <c r="J488" i="1"/>
  <c r="L487" i="1"/>
  <c r="K487" i="1"/>
  <c r="M487" i="1" s="1"/>
  <c r="J487" i="1"/>
  <c r="L486" i="1"/>
  <c r="K486" i="1"/>
  <c r="M486" i="1" s="1"/>
  <c r="J486" i="1"/>
  <c r="L485" i="1"/>
  <c r="K485" i="1"/>
  <c r="M485" i="1" s="1"/>
  <c r="J485" i="1"/>
  <c r="L484" i="1"/>
  <c r="K484" i="1"/>
  <c r="M484" i="1" s="1"/>
  <c r="J484" i="1"/>
  <c r="L483" i="1"/>
  <c r="K483" i="1"/>
  <c r="M483" i="1" s="1"/>
  <c r="J483" i="1"/>
  <c r="L482" i="1"/>
  <c r="K482" i="1"/>
  <c r="M482" i="1" s="1"/>
  <c r="J482" i="1"/>
  <c r="L481" i="1"/>
  <c r="K481" i="1"/>
  <c r="M481" i="1" s="1"/>
  <c r="J481" i="1"/>
  <c r="L480" i="1"/>
  <c r="K480" i="1"/>
  <c r="J480" i="1"/>
  <c r="L479" i="1"/>
  <c r="K479" i="1"/>
  <c r="M479" i="1" s="1"/>
  <c r="J479" i="1"/>
  <c r="L478" i="1"/>
  <c r="K478" i="1"/>
  <c r="M478" i="1" s="1"/>
  <c r="J478" i="1"/>
  <c r="L477" i="1"/>
  <c r="K477" i="1"/>
  <c r="M477" i="1" s="1"/>
  <c r="J477" i="1"/>
  <c r="L476" i="1"/>
  <c r="K476" i="1"/>
  <c r="M476" i="1" s="1"/>
  <c r="J476" i="1"/>
  <c r="L475" i="1"/>
  <c r="K475" i="1"/>
  <c r="M475" i="1" s="1"/>
  <c r="J475" i="1"/>
  <c r="L474" i="1"/>
  <c r="K474" i="1"/>
  <c r="M474" i="1" s="1"/>
  <c r="J474" i="1"/>
  <c r="L473" i="1"/>
  <c r="K473" i="1"/>
  <c r="M473" i="1" s="1"/>
  <c r="J473" i="1"/>
  <c r="L472" i="1"/>
  <c r="K472" i="1"/>
  <c r="M472" i="1" s="1"/>
  <c r="J472" i="1"/>
  <c r="L471" i="1"/>
  <c r="K471" i="1"/>
  <c r="M471" i="1" s="1"/>
  <c r="J471" i="1"/>
  <c r="L470" i="1"/>
  <c r="K470" i="1"/>
  <c r="M470" i="1" s="1"/>
  <c r="J470" i="1"/>
  <c r="L469" i="1"/>
  <c r="K469" i="1"/>
  <c r="M469" i="1" s="1"/>
  <c r="J469" i="1"/>
  <c r="L468" i="1"/>
  <c r="K468" i="1"/>
  <c r="M468" i="1" s="1"/>
  <c r="J468" i="1"/>
  <c r="L467" i="1"/>
  <c r="K467" i="1"/>
  <c r="M467" i="1" s="1"/>
  <c r="J467" i="1"/>
  <c r="L466" i="1"/>
  <c r="K466" i="1"/>
  <c r="M466" i="1" s="1"/>
  <c r="J466" i="1"/>
  <c r="L465" i="1"/>
  <c r="K465" i="1"/>
  <c r="M465" i="1" s="1"/>
  <c r="J465" i="1"/>
  <c r="L464" i="1"/>
  <c r="K464" i="1"/>
  <c r="M464" i="1" s="1"/>
  <c r="J464" i="1"/>
  <c r="L463" i="1"/>
  <c r="K463" i="1"/>
  <c r="M463" i="1" s="1"/>
  <c r="J463" i="1"/>
  <c r="L462" i="1"/>
  <c r="K462" i="1"/>
  <c r="M462" i="1" s="1"/>
  <c r="J462" i="1"/>
  <c r="L461" i="1"/>
  <c r="K461" i="1"/>
  <c r="J461" i="1"/>
  <c r="L460" i="1"/>
  <c r="K460" i="1"/>
  <c r="M460" i="1" s="1"/>
  <c r="J460" i="1"/>
  <c r="L459" i="1"/>
  <c r="K459" i="1"/>
  <c r="M459" i="1" s="1"/>
  <c r="J459" i="1"/>
  <c r="L458" i="1"/>
  <c r="K458" i="1"/>
  <c r="M458" i="1" s="1"/>
  <c r="J458" i="1"/>
  <c r="L457" i="1"/>
  <c r="K457" i="1"/>
  <c r="M457" i="1" s="1"/>
  <c r="J457" i="1"/>
  <c r="L456" i="1"/>
  <c r="K456" i="1"/>
  <c r="M456" i="1" s="1"/>
  <c r="J456" i="1"/>
  <c r="L455" i="1"/>
  <c r="K455" i="1"/>
  <c r="M455" i="1" s="1"/>
  <c r="J455" i="1"/>
  <c r="L454" i="1"/>
  <c r="K454" i="1"/>
  <c r="M454" i="1" s="1"/>
  <c r="J454" i="1"/>
  <c r="L453" i="1"/>
  <c r="K453" i="1"/>
  <c r="M453" i="1" s="1"/>
  <c r="J453" i="1"/>
  <c r="L452" i="1"/>
  <c r="K452" i="1"/>
  <c r="M452" i="1" s="1"/>
  <c r="J452" i="1"/>
  <c r="L451" i="1"/>
  <c r="K451" i="1"/>
  <c r="M451" i="1" s="1"/>
  <c r="J451" i="1"/>
  <c r="L450" i="1"/>
  <c r="M450" i="1" s="1"/>
  <c r="K450" i="1"/>
  <c r="J450" i="1"/>
  <c r="L449" i="1"/>
  <c r="K449" i="1"/>
  <c r="M449" i="1" s="1"/>
  <c r="J449" i="1"/>
  <c r="L448" i="1"/>
  <c r="K448" i="1"/>
  <c r="M448" i="1" s="1"/>
  <c r="J448" i="1"/>
  <c r="L447" i="1"/>
  <c r="K447" i="1"/>
  <c r="M447" i="1" s="1"/>
  <c r="J447" i="1"/>
  <c r="L446" i="1"/>
  <c r="K446" i="1"/>
  <c r="M446" i="1" s="1"/>
  <c r="J446" i="1"/>
  <c r="L445" i="1"/>
  <c r="K445" i="1"/>
  <c r="M445" i="1" s="1"/>
  <c r="J445" i="1"/>
  <c r="L444" i="1"/>
  <c r="K444" i="1"/>
  <c r="M444" i="1" s="1"/>
  <c r="J444" i="1"/>
  <c r="L443" i="1"/>
  <c r="M443" i="1" s="1"/>
  <c r="K443" i="1"/>
  <c r="J443" i="1"/>
  <c r="L442" i="1"/>
  <c r="K442" i="1"/>
  <c r="M442" i="1" s="1"/>
  <c r="J442" i="1"/>
  <c r="M441" i="1"/>
  <c r="L441" i="1"/>
  <c r="K441" i="1"/>
  <c r="J441" i="1"/>
  <c r="L440" i="1"/>
  <c r="K440" i="1"/>
  <c r="M440" i="1" s="1"/>
  <c r="J440" i="1"/>
  <c r="L439" i="1"/>
  <c r="K439" i="1"/>
  <c r="M439" i="1" s="1"/>
  <c r="J439" i="1"/>
  <c r="L438" i="1"/>
  <c r="K438" i="1"/>
  <c r="M438" i="1" s="1"/>
  <c r="J438" i="1"/>
  <c r="L437" i="1"/>
  <c r="K437" i="1"/>
  <c r="M437" i="1" s="1"/>
  <c r="J437" i="1"/>
  <c r="L436" i="1"/>
  <c r="K436" i="1"/>
  <c r="M436" i="1" s="1"/>
  <c r="J436" i="1"/>
  <c r="L435" i="1"/>
  <c r="K435" i="1"/>
  <c r="M435" i="1" s="1"/>
  <c r="J435" i="1"/>
  <c r="L434" i="1"/>
  <c r="M434" i="1" s="1"/>
  <c r="K434" i="1"/>
  <c r="J434" i="1"/>
  <c r="L433" i="1"/>
  <c r="K433" i="1"/>
  <c r="M433" i="1" s="1"/>
  <c r="J433" i="1"/>
  <c r="L432" i="1"/>
  <c r="K432" i="1"/>
  <c r="J432" i="1"/>
  <c r="L431" i="1"/>
  <c r="K431" i="1"/>
  <c r="M431" i="1" s="1"/>
  <c r="J431" i="1"/>
  <c r="L430" i="1"/>
  <c r="K430" i="1"/>
  <c r="M430" i="1" s="1"/>
  <c r="J430" i="1"/>
  <c r="L429" i="1"/>
  <c r="K429" i="1"/>
  <c r="M429" i="1" s="1"/>
  <c r="J429" i="1"/>
  <c r="L428" i="1"/>
  <c r="K428" i="1"/>
  <c r="M428" i="1" s="1"/>
  <c r="J428" i="1"/>
  <c r="L427" i="1"/>
  <c r="K427" i="1"/>
  <c r="M427" i="1" s="1"/>
  <c r="J427" i="1"/>
  <c r="L426" i="1"/>
  <c r="K426" i="1"/>
  <c r="M426" i="1" s="1"/>
  <c r="J426" i="1"/>
  <c r="M425" i="1"/>
  <c r="L425" i="1"/>
  <c r="K425" i="1"/>
  <c r="J425" i="1"/>
  <c r="L424" i="1"/>
  <c r="K424" i="1"/>
  <c r="M424" i="1" s="1"/>
  <c r="J424" i="1"/>
  <c r="L423" i="1"/>
  <c r="K423" i="1"/>
  <c r="M423" i="1" s="1"/>
  <c r="J423" i="1"/>
  <c r="L422" i="1"/>
  <c r="K422" i="1"/>
  <c r="M422" i="1" s="1"/>
  <c r="J422" i="1"/>
  <c r="L421" i="1"/>
  <c r="K421" i="1"/>
  <c r="M421" i="1" s="1"/>
  <c r="J421" i="1"/>
  <c r="L420" i="1"/>
  <c r="K420" i="1"/>
  <c r="M420" i="1" s="1"/>
  <c r="J420" i="1"/>
  <c r="L419" i="1"/>
  <c r="K419" i="1"/>
  <c r="M419" i="1" s="1"/>
  <c r="J419" i="1"/>
  <c r="L418" i="1"/>
  <c r="K418" i="1"/>
  <c r="M418" i="1" s="1"/>
  <c r="J418" i="1"/>
  <c r="L417" i="1"/>
  <c r="K417" i="1"/>
  <c r="M417" i="1" s="1"/>
  <c r="J417" i="1"/>
  <c r="L416" i="1"/>
  <c r="K416" i="1"/>
  <c r="M416" i="1" s="1"/>
  <c r="J416" i="1"/>
  <c r="L415" i="1"/>
  <c r="K415" i="1"/>
  <c r="M415" i="1" s="1"/>
  <c r="J415" i="1"/>
  <c r="L414" i="1"/>
  <c r="K414" i="1"/>
  <c r="M414" i="1" s="1"/>
  <c r="J414" i="1"/>
  <c r="L413" i="1"/>
  <c r="K413" i="1"/>
  <c r="M413" i="1" s="1"/>
  <c r="J413" i="1"/>
  <c r="L412" i="1"/>
  <c r="K412" i="1"/>
  <c r="M412" i="1" s="1"/>
  <c r="J412" i="1"/>
  <c r="L411" i="1"/>
  <c r="K411" i="1"/>
  <c r="M411" i="1" s="1"/>
  <c r="J411" i="1"/>
  <c r="L410" i="1"/>
  <c r="K410" i="1"/>
  <c r="M410" i="1" s="1"/>
  <c r="J410" i="1"/>
  <c r="M409" i="1"/>
  <c r="L409" i="1"/>
  <c r="K409" i="1"/>
  <c r="J409" i="1"/>
  <c r="L408" i="1"/>
  <c r="K408" i="1"/>
  <c r="M408" i="1" s="1"/>
  <c r="J408" i="1"/>
  <c r="L407" i="1"/>
  <c r="K407" i="1"/>
  <c r="M407" i="1" s="1"/>
  <c r="J407" i="1"/>
  <c r="L406" i="1"/>
  <c r="K406" i="1"/>
  <c r="M406" i="1" s="1"/>
  <c r="J406" i="1"/>
  <c r="M405" i="1"/>
  <c r="L405" i="1"/>
  <c r="K405" i="1"/>
  <c r="J405" i="1"/>
  <c r="L404" i="1"/>
  <c r="K404" i="1"/>
  <c r="M404" i="1" s="1"/>
  <c r="J404" i="1"/>
  <c r="L403" i="1"/>
  <c r="K403" i="1"/>
  <c r="M403" i="1" s="1"/>
  <c r="J403" i="1"/>
  <c r="L402" i="1"/>
  <c r="K402" i="1"/>
  <c r="M402" i="1" s="1"/>
  <c r="J402" i="1"/>
  <c r="L401" i="1"/>
  <c r="K401" i="1"/>
  <c r="M401" i="1" s="1"/>
  <c r="J401" i="1"/>
  <c r="L400" i="1"/>
  <c r="K400" i="1"/>
  <c r="M400" i="1" s="1"/>
  <c r="J400" i="1"/>
  <c r="L399" i="1"/>
  <c r="K399" i="1"/>
  <c r="M399" i="1" s="1"/>
  <c r="J399" i="1"/>
  <c r="L398" i="1"/>
  <c r="K398" i="1"/>
  <c r="M398" i="1" s="1"/>
  <c r="J398" i="1"/>
  <c r="L397" i="1"/>
  <c r="K397" i="1"/>
  <c r="M397" i="1" s="1"/>
  <c r="J397" i="1"/>
  <c r="L396" i="1"/>
  <c r="K396" i="1"/>
  <c r="M396" i="1" s="1"/>
  <c r="J396" i="1"/>
  <c r="L395" i="1"/>
  <c r="K395" i="1"/>
  <c r="M395" i="1" s="1"/>
  <c r="J395" i="1"/>
  <c r="L394" i="1"/>
  <c r="K394" i="1"/>
  <c r="M394" i="1" s="1"/>
  <c r="J394" i="1"/>
  <c r="L393" i="1"/>
  <c r="K393" i="1"/>
  <c r="M393" i="1" s="1"/>
  <c r="J393" i="1"/>
  <c r="L392" i="1"/>
  <c r="K392" i="1"/>
  <c r="M392" i="1" s="1"/>
  <c r="J392" i="1"/>
  <c r="L391" i="1"/>
  <c r="K391" i="1"/>
  <c r="M391" i="1" s="1"/>
  <c r="J391" i="1"/>
  <c r="L390" i="1"/>
  <c r="K390" i="1"/>
  <c r="M390" i="1" s="1"/>
  <c r="J390" i="1"/>
  <c r="L389" i="1"/>
  <c r="K389" i="1"/>
  <c r="M389" i="1" s="1"/>
  <c r="J389" i="1"/>
  <c r="L388" i="1"/>
  <c r="K388" i="1"/>
  <c r="M388" i="1" s="1"/>
  <c r="J388" i="1"/>
  <c r="L387" i="1"/>
  <c r="K387" i="1"/>
  <c r="M387" i="1" s="1"/>
  <c r="J387" i="1"/>
  <c r="L386" i="1"/>
  <c r="K386" i="1"/>
  <c r="M386" i="1" s="1"/>
  <c r="J386" i="1"/>
  <c r="L385" i="1"/>
  <c r="K385" i="1"/>
  <c r="M385" i="1" s="1"/>
  <c r="J385" i="1"/>
  <c r="L384" i="1"/>
  <c r="K384" i="1"/>
  <c r="M384" i="1" s="1"/>
  <c r="J384" i="1"/>
  <c r="L383" i="1"/>
  <c r="K383" i="1"/>
  <c r="M383" i="1" s="1"/>
  <c r="J383" i="1"/>
  <c r="L382" i="1"/>
  <c r="K382" i="1"/>
  <c r="M382" i="1" s="1"/>
  <c r="J382" i="1"/>
  <c r="L381" i="1"/>
  <c r="K381" i="1"/>
  <c r="M381" i="1" s="1"/>
  <c r="J381" i="1"/>
  <c r="L380" i="1"/>
  <c r="K380" i="1"/>
  <c r="M380" i="1" s="1"/>
  <c r="J380" i="1"/>
  <c r="L379" i="1"/>
  <c r="M379" i="1" s="1"/>
  <c r="K379" i="1"/>
  <c r="J379" i="1"/>
  <c r="L378" i="1"/>
  <c r="K378" i="1"/>
  <c r="M378" i="1" s="1"/>
  <c r="J378" i="1"/>
  <c r="L377" i="1"/>
  <c r="K377" i="1"/>
  <c r="M377" i="1" s="1"/>
  <c r="J377" i="1"/>
  <c r="L376" i="1"/>
  <c r="K376" i="1"/>
  <c r="M376" i="1" s="1"/>
  <c r="J376" i="1"/>
  <c r="L375" i="1"/>
  <c r="K375" i="1"/>
  <c r="M375" i="1" s="1"/>
  <c r="J375" i="1"/>
  <c r="L374" i="1"/>
  <c r="K374" i="1"/>
  <c r="M374" i="1" s="1"/>
  <c r="J374" i="1"/>
  <c r="L373" i="1"/>
  <c r="K373" i="1"/>
  <c r="M373" i="1" s="1"/>
  <c r="J373" i="1"/>
  <c r="L372" i="1"/>
  <c r="M372" i="1" s="1"/>
  <c r="K372" i="1"/>
  <c r="J372" i="1"/>
  <c r="L371" i="1"/>
  <c r="K371" i="1"/>
  <c r="M371" i="1" s="1"/>
  <c r="J371" i="1"/>
  <c r="M370" i="1"/>
  <c r="L370" i="1"/>
  <c r="K370" i="1"/>
  <c r="J370" i="1"/>
  <c r="L369" i="1"/>
  <c r="K369" i="1"/>
  <c r="M369" i="1" s="1"/>
  <c r="J369" i="1"/>
  <c r="L368" i="1"/>
  <c r="K368" i="1"/>
  <c r="M368" i="1" s="1"/>
  <c r="J368" i="1"/>
  <c r="L367" i="1"/>
  <c r="K367" i="1"/>
  <c r="M367" i="1" s="1"/>
  <c r="J367" i="1"/>
  <c r="L366" i="1"/>
  <c r="K366" i="1"/>
  <c r="M366" i="1" s="1"/>
  <c r="J366" i="1"/>
  <c r="L365" i="1"/>
  <c r="K365" i="1"/>
  <c r="M365" i="1" s="1"/>
  <c r="J365" i="1"/>
  <c r="L364" i="1"/>
  <c r="K364" i="1"/>
  <c r="M364" i="1" s="1"/>
  <c r="J364" i="1"/>
  <c r="M363" i="1"/>
  <c r="L363" i="1"/>
  <c r="K363" i="1"/>
  <c r="J363" i="1"/>
  <c r="L362" i="1"/>
  <c r="K362" i="1"/>
  <c r="M362" i="1" s="1"/>
  <c r="J362" i="1"/>
  <c r="L361" i="1"/>
  <c r="K361" i="1"/>
  <c r="M361" i="1" s="1"/>
  <c r="J361" i="1"/>
  <c r="L360" i="1"/>
  <c r="K360" i="1"/>
  <c r="M360" i="1" s="1"/>
  <c r="J360" i="1"/>
  <c r="L359" i="1"/>
  <c r="K359" i="1"/>
  <c r="M359" i="1" s="1"/>
  <c r="J359" i="1"/>
  <c r="L358" i="1"/>
  <c r="K358" i="1"/>
  <c r="M358" i="1" s="1"/>
  <c r="J358" i="1"/>
  <c r="L357" i="1"/>
  <c r="K357" i="1"/>
  <c r="M357" i="1" s="1"/>
  <c r="J357" i="1"/>
  <c r="L356" i="1"/>
  <c r="K356" i="1"/>
  <c r="M356" i="1" s="1"/>
  <c r="J356" i="1"/>
  <c r="L355" i="1"/>
  <c r="K355" i="1"/>
  <c r="M355" i="1" s="1"/>
  <c r="J355" i="1"/>
  <c r="L354" i="1"/>
  <c r="K354" i="1"/>
  <c r="M354" i="1" s="1"/>
  <c r="J354" i="1"/>
  <c r="L353" i="1"/>
  <c r="K353" i="1"/>
  <c r="M353" i="1" s="1"/>
  <c r="J353" i="1"/>
  <c r="L352" i="1"/>
  <c r="K352" i="1"/>
  <c r="M352" i="1" s="1"/>
  <c r="J352" i="1"/>
  <c r="L351" i="1"/>
  <c r="K351" i="1"/>
  <c r="M351" i="1" s="1"/>
  <c r="J351" i="1"/>
  <c r="L350" i="1"/>
  <c r="K350" i="1"/>
  <c r="M350" i="1" s="1"/>
  <c r="J350" i="1"/>
  <c r="L349" i="1"/>
  <c r="K349" i="1"/>
  <c r="M349" i="1" s="1"/>
  <c r="J349" i="1"/>
  <c r="L348" i="1"/>
  <c r="K348" i="1"/>
  <c r="M348" i="1" s="1"/>
  <c r="J348" i="1"/>
  <c r="L347" i="1"/>
  <c r="K347" i="1"/>
  <c r="M347" i="1" s="1"/>
  <c r="J347" i="1"/>
  <c r="L346" i="1"/>
  <c r="K346" i="1"/>
  <c r="M346" i="1" s="1"/>
  <c r="J346" i="1"/>
  <c r="L345" i="1"/>
  <c r="K345" i="1"/>
  <c r="M345" i="1" s="1"/>
  <c r="J345" i="1"/>
  <c r="L344" i="1"/>
  <c r="K344" i="1"/>
  <c r="M344" i="1" s="1"/>
  <c r="J344" i="1"/>
  <c r="L343" i="1"/>
  <c r="K343" i="1"/>
  <c r="M343" i="1" s="1"/>
  <c r="J343" i="1"/>
  <c r="L342" i="1"/>
  <c r="K342" i="1"/>
  <c r="M342" i="1" s="1"/>
  <c r="J342" i="1"/>
  <c r="L341" i="1"/>
  <c r="K341" i="1"/>
  <c r="M341" i="1" s="1"/>
  <c r="J341" i="1"/>
  <c r="L340" i="1"/>
  <c r="K340" i="1"/>
  <c r="M340" i="1" s="1"/>
  <c r="J340" i="1"/>
  <c r="L339" i="1"/>
  <c r="K339" i="1"/>
  <c r="M339" i="1" s="1"/>
  <c r="J339" i="1"/>
  <c r="L338" i="1"/>
  <c r="K338" i="1"/>
  <c r="M338" i="1" s="1"/>
  <c r="J338" i="1"/>
  <c r="L337" i="1"/>
  <c r="M337" i="1" s="1"/>
  <c r="K337" i="1"/>
  <c r="J337" i="1"/>
  <c r="L336" i="1"/>
  <c r="K336" i="1"/>
  <c r="J336" i="1"/>
  <c r="L335" i="1"/>
  <c r="K335" i="1"/>
  <c r="M335" i="1" s="1"/>
  <c r="J335" i="1"/>
  <c r="L334" i="1"/>
  <c r="K334" i="1"/>
  <c r="M334" i="1" s="1"/>
  <c r="J334" i="1"/>
  <c r="L333" i="1"/>
  <c r="K333" i="1"/>
  <c r="M333" i="1" s="1"/>
  <c r="J333" i="1"/>
  <c r="L332" i="1"/>
  <c r="K332" i="1"/>
  <c r="M332" i="1" s="1"/>
  <c r="J332" i="1"/>
  <c r="L331" i="1"/>
  <c r="K331" i="1"/>
  <c r="M331" i="1" s="1"/>
  <c r="J331" i="1"/>
  <c r="L330" i="1"/>
  <c r="K330" i="1"/>
  <c r="M330" i="1" s="1"/>
  <c r="J330" i="1"/>
  <c r="L329" i="1"/>
  <c r="K329" i="1"/>
  <c r="M329" i="1" s="1"/>
  <c r="J329" i="1"/>
  <c r="L328" i="1"/>
  <c r="K328" i="1"/>
  <c r="J328" i="1"/>
  <c r="L327" i="1"/>
  <c r="K327" i="1"/>
  <c r="M327" i="1" s="1"/>
  <c r="J327" i="1"/>
  <c r="L326" i="1"/>
  <c r="K326" i="1"/>
  <c r="M326" i="1" s="1"/>
  <c r="J326" i="1"/>
  <c r="L325" i="1"/>
  <c r="K325" i="1"/>
  <c r="M325" i="1" s="1"/>
  <c r="J325" i="1"/>
  <c r="L324" i="1"/>
  <c r="K324" i="1"/>
  <c r="M324" i="1" s="1"/>
  <c r="J324" i="1"/>
  <c r="L323" i="1"/>
  <c r="K323" i="1"/>
  <c r="M323" i="1" s="1"/>
  <c r="J323" i="1"/>
  <c r="L322" i="1"/>
  <c r="K322" i="1"/>
  <c r="M322" i="1" s="1"/>
  <c r="J322" i="1"/>
  <c r="L321" i="1"/>
  <c r="K321" i="1"/>
  <c r="M321" i="1" s="1"/>
  <c r="J321" i="1"/>
  <c r="L320" i="1"/>
  <c r="K320" i="1"/>
  <c r="M320" i="1" s="1"/>
  <c r="J320" i="1"/>
  <c r="L319" i="1"/>
  <c r="K319" i="1"/>
  <c r="M319" i="1" s="1"/>
  <c r="J319" i="1"/>
  <c r="L318" i="1"/>
  <c r="K318" i="1"/>
  <c r="M318" i="1" s="1"/>
  <c r="J318" i="1"/>
  <c r="L317" i="1"/>
  <c r="M317" i="1" s="1"/>
  <c r="K317" i="1"/>
  <c r="J317" i="1"/>
  <c r="L316" i="1"/>
  <c r="K316" i="1"/>
  <c r="M316" i="1" s="1"/>
  <c r="J316" i="1"/>
  <c r="L315" i="1"/>
  <c r="K315" i="1"/>
  <c r="M315" i="1" s="1"/>
  <c r="J315" i="1"/>
  <c r="L314" i="1"/>
  <c r="K314" i="1"/>
  <c r="M314" i="1" s="1"/>
  <c r="J314" i="1"/>
  <c r="L313" i="1"/>
  <c r="K313" i="1"/>
  <c r="M313" i="1" s="1"/>
  <c r="J313" i="1"/>
  <c r="L312" i="1"/>
  <c r="K312" i="1"/>
  <c r="M312" i="1" s="1"/>
  <c r="J312" i="1"/>
  <c r="L311" i="1"/>
  <c r="K311" i="1"/>
  <c r="M311" i="1" s="1"/>
  <c r="J311" i="1"/>
  <c r="L310" i="1"/>
  <c r="K310" i="1"/>
  <c r="M310" i="1" s="1"/>
  <c r="J310" i="1"/>
  <c r="L309" i="1"/>
  <c r="K309" i="1"/>
  <c r="M309" i="1" s="1"/>
  <c r="J309" i="1"/>
  <c r="M308" i="1"/>
  <c r="L308" i="1"/>
  <c r="K308" i="1"/>
  <c r="J308" i="1"/>
  <c r="L307" i="1"/>
  <c r="K307" i="1"/>
  <c r="M307" i="1" s="1"/>
  <c r="J307" i="1"/>
  <c r="L306" i="1"/>
  <c r="K306" i="1"/>
  <c r="M306" i="1" s="1"/>
  <c r="J306" i="1"/>
  <c r="L305" i="1"/>
  <c r="K305" i="1"/>
  <c r="M305" i="1" s="1"/>
  <c r="J305" i="1"/>
  <c r="L304" i="1"/>
  <c r="K304" i="1"/>
  <c r="M304" i="1" s="1"/>
  <c r="J304" i="1"/>
  <c r="L303" i="1"/>
  <c r="K303" i="1"/>
  <c r="M303" i="1" s="1"/>
  <c r="J303" i="1"/>
  <c r="L302" i="1"/>
  <c r="K302" i="1"/>
  <c r="M302" i="1" s="1"/>
  <c r="J302" i="1"/>
  <c r="M301" i="1"/>
  <c r="L301" i="1"/>
  <c r="K301" i="1"/>
  <c r="J301" i="1"/>
  <c r="L300" i="1"/>
  <c r="K300" i="1"/>
  <c r="M300" i="1" s="1"/>
  <c r="J300" i="1"/>
  <c r="L299" i="1"/>
  <c r="K299" i="1"/>
  <c r="M299" i="1" s="1"/>
  <c r="J299" i="1"/>
  <c r="L298" i="1"/>
  <c r="K298" i="1"/>
  <c r="M298" i="1" s="1"/>
  <c r="J298" i="1"/>
  <c r="L297" i="1"/>
  <c r="K297" i="1"/>
  <c r="M297" i="1" s="1"/>
  <c r="J297" i="1"/>
  <c r="L296" i="1"/>
  <c r="K296" i="1"/>
  <c r="M296" i="1" s="1"/>
  <c r="J296" i="1"/>
  <c r="L295" i="1"/>
  <c r="K295" i="1"/>
  <c r="M295" i="1" s="1"/>
  <c r="J295" i="1"/>
  <c r="L294" i="1"/>
  <c r="K294" i="1"/>
  <c r="M294" i="1" s="1"/>
  <c r="J294" i="1"/>
  <c r="L293" i="1"/>
  <c r="K293" i="1"/>
  <c r="M293" i="1" s="1"/>
  <c r="J293" i="1"/>
  <c r="L292" i="1"/>
  <c r="K292" i="1"/>
  <c r="M292" i="1" s="1"/>
  <c r="J292" i="1"/>
  <c r="L291" i="1"/>
  <c r="K291" i="1"/>
  <c r="M291" i="1" s="1"/>
  <c r="J291" i="1"/>
  <c r="L290" i="1"/>
  <c r="K290" i="1"/>
  <c r="M290" i="1" s="1"/>
  <c r="J290" i="1"/>
  <c r="L289" i="1"/>
  <c r="K289" i="1"/>
  <c r="M289" i="1" s="1"/>
  <c r="J289" i="1"/>
  <c r="L288" i="1"/>
  <c r="K288" i="1"/>
  <c r="M288" i="1" s="1"/>
  <c r="J288" i="1"/>
  <c r="L287" i="1"/>
  <c r="K287" i="1"/>
  <c r="M287" i="1" s="1"/>
  <c r="J287" i="1"/>
  <c r="L286" i="1"/>
  <c r="K286" i="1"/>
  <c r="M286" i="1" s="1"/>
  <c r="J286" i="1"/>
  <c r="L285" i="1"/>
  <c r="K285" i="1"/>
  <c r="M285" i="1" s="1"/>
  <c r="J285" i="1"/>
  <c r="L284" i="1"/>
  <c r="K284" i="1"/>
  <c r="M284" i="1" s="1"/>
  <c r="J284" i="1"/>
  <c r="L283" i="1"/>
  <c r="K283" i="1"/>
  <c r="M283" i="1" s="1"/>
  <c r="J283" i="1"/>
  <c r="L282" i="1"/>
  <c r="M282" i="1" s="1"/>
  <c r="K282" i="1"/>
  <c r="J282" i="1"/>
  <c r="L281" i="1"/>
  <c r="K281" i="1"/>
  <c r="M281" i="1" s="1"/>
  <c r="J281" i="1"/>
  <c r="L280" i="1"/>
  <c r="K280" i="1"/>
  <c r="M280" i="1" s="1"/>
  <c r="J280" i="1"/>
  <c r="L279" i="1"/>
  <c r="K279" i="1"/>
  <c r="M279" i="1" s="1"/>
  <c r="J279" i="1"/>
  <c r="L278" i="1"/>
  <c r="K278" i="1"/>
  <c r="M278" i="1" s="1"/>
  <c r="J278" i="1"/>
  <c r="L277" i="1"/>
  <c r="K277" i="1"/>
  <c r="M277" i="1" s="1"/>
  <c r="J277" i="1"/>
  <c r="L276" i="1"/>
  <c r="K276" i="1"/>
  <c r="M276" i="1" s="1"/>
  <c r="J276" i="1"/>
  <c r="L275" i="1"/>
  <c r="M275" i="1" s="1"/>
  <c r="K275" i="1"/>
  <c r="J275" i="1"/>
  <c r="L274" i="1"/>
  <c r="K274" i="1"/>
  <c r="M274" i="1" s="1"/>
  <c r="J274" i="1"/>
  <c r="M273" i="1"/>
  <c r="L273" i="1"/>
  <c r="K273" i="1"/>
  <c r="J273" i="1"/>
  <c r="L272" i="1"/>
  <c r="K272" i="1"/>
  <c r="M272" i="1" s="1"/>
  <c r="J272" i="1"/>
  <c r="L271" i="1"/>
  <c r="K271" i="1"/>
  <c r="M271" i="1" s="1"/>
  <c r="J271" i="1"/>
  <c r="L270" i="1"/>
  <c r="K270" i="1"/>
  <c r="M270" i="1" s="1"/>
  <c r="J270" i="1"/>
  <c r="L269" i="1"/>
  <c r="K269" i="1"/>
  <c r="M269" i="1" s="1"/>
  <c r="J269" i="1"/>
  <c r="L268" i="1"/>
  <c r="K268" i="1"/>
  <c r="M268" i="1" s="1"/>
  <c r="J268" i="1"/>
  <c r="L267" i="1"/>
  <c r="K267" i="1"/>
  <c r="M267" i="1" s="1"/>
  <c r="J267" i="1"/>
  <c r="M266" i="1"/>
  <c r="L266" i="1"/>
  <c r="K266" i="1"/>
  <c r="J266" i="1"/>
  <c r="L265" i="1"/>
  <c r="K265" i="1"/>
  <c r="M265" i="1" s="1"/>
  <c r="J265" i="1"/>
  <c r="L264" i="1"/>
  <c r="K264" i="1"/>
  <c r="M264" i="1" s="1"/>
  <c r="J264" i="1"/>
  <c r="L263" i="1"/>
  <c r="K263" i="1"/>
  <c r="M263" i="1" s="1"/>
  <c r="J263" i="1"/>
  <c r="L262" i="1"/>
  <c r="K262" i="1"/>
  <c r="M262" i="1" s="1"/>
  <c r="J262" i="1"/>
  <c r="L261" i="1"/>
  <c r="K261" i="1"/>
  <c r="M261" i="1" s="1"/>
  <c r="J261" i="1"/>
  <c r="L260" i="1"/>
  <c r="K260" i="1"/>
  <c r="M260" i="1" s="1"/>
  <c r="J260" i="1"/>
  <c r="L259" i="1"/>
  <c r="K259" i="1"/>
  <c r="M259" i="1" s="1"/>
  <c r="J259" i="1"/>
  <c r="M258" i="1"/>
  <c r="L258" i="1"/>
  <c r="K258" i="1"/>
  <c r="J258" i="1"/>
  <c r="L257" i="1"/>
  <c r="K257" i="1"/>
  <c r="M257" i="1" s="1"/>
  <c r="J257" i="1"/>
  <c r="L256" i="1"/>
  <c r="K256" i="1"/>
  <c r="M256" i="1" s="1"/>
  <c r="J256" i="1"/>
  <c r="L255" i="1"/>
  <c r="K255" i="1"/>
  <c r="M255" i="1" s="1"/>
  <c r="J255" i="1"/>
  <c r="L254" i="1"/>
  <c r="K254" i="1"/>
  <c r="M254" i="1" s="1"/>
  <c r="J254" i="1"/>
  <c r="L253" i="1"/>
  <c r="K253" i="1"/>
  <c r="M253" i="1" s="1"/>
  <c r="J253" i="1"/>
  <c r="L252" i="1"/>
  <c r="K252" i="1"/>
  <c r="M252" i="1" s="1"/>
  <c r="J252" i="1"/>
  <c r="L251" i="1"/>
  <c r="K251" i="1"/>
  <c r="M251" i="1" s="1"/>
  <c r="J251" i="1"/>
  <c r="M250" i="1"/>
  <c r="L250" i="1"/>
  <c r="K250" i="1"/>
  <c r="J250" i="1"/>
  <c r="L249" i="1"/>
  <c r="K249" i="1"/>
  <c r="M249" i="1" s="1"/>
  <c r="J249" i="1"/>
  <c r="L248" i="1"/>
  <c r="K248" i="1"/>
  <c r="M248" i="1" s="1"/>
  <c r="J248" i="1"/>
  <c r="L247" i="1"/>
  <c r="K247" i="1"/>
  <c r="M247" i="1" s="1"/>
  <c r="J247" i="1"/>
  <c r="L246" i="1"/>
  <c r="K246" i="1"/>
  <c r="M246" i="1" s="1"/>
  <c r="J246" i="1"/>
  <c r="L245" i="1"/>
  <c r="K245" i="1"/>
  <c r="M245" i="1" s="1"/>
  <c r="J245" i="1"/>
  <c r="L244" i="1"/>
  <c r="K244" i="1"/>
  <c r="M244" i="1" s="1"/>
  <c r="J244" i="1"/>
  <c r="L243" i="1"/>
  <c r="K243" i="1"/>
  <c r="M243" i="1" s="1"/>
  <c r="J243" i="1"/>
  <c r="L242" i="1"/>
  <c r="K242" i="1"/>
  <c r="M242" i="1" s="1"/>
  <c r="J242" i="1"/>
  <c r="L241" i="1"/>
  <c r="K241" i="1"/>
  <c r="M241" i="1" s="1"/>
  <c r="J241" i="1"/>
  <c r="L240" i="1"/>
  <c r="K240" i="1"/>
  <c r="M240" i="1" s="1"/>
  <c r="J240" i="1"/>
  <c r="L239" i="1"/>
  <c r="K239" i="1"/>
  <c r="M239" i="1" s="1"/>
  <c r="J239" i="1"/>
  <c r="L238" i="1"/>
  <c r="K238" i="1"/>
  <c r="M238" i="1" s="1"/>
  <c r="J238" i="1"/>
  <c r="L237" i="1"/>
  <c r="K237" i="1"/>
  <c r="M237" i="1" s="1"/>
  <c r="J237" i="1"/>
  <c r="L236" i="1"/>
  <c r="K236" i="1"/>
  <c r="M236" i="1" s="1"/>
  <c r="J236" i="1"/>
  <c r="L235" i="1"/>
  <c r="K235" i="1"/>
  <c r="M235" i="1" s="1"/>
  <c r="J235" i="1"/>
  <c r="L234" i="1"/>
  <c r="K234" i="1"/>
  <c r="M234" i="1" s="1"/>
  <c r="J234" i="1"/>
  <c r="L233" i="1"/>
  <c r="K233" i="1"/>
  <c r="M233" i="1" s="1"/>
  <c r="J233" i="1"/>
  <c r="L232" i="1"/>
  <c r="K232" i="1"/>
  <c r="M232" i="1" s="1"/>
  <c r="J232" i="1"/>
  <c r="L231" i="1"/>
  <c r="K231" i="1"/>
  <c r="M231" i="1" s="1"/>
  <c r="J231" i="1"/>
  <c r="L230" i="1"/>
  <c r="K230" i="1"/>
  <c r="M230" i="1" s="1"/>
  <c r="J230" i="1"/>
  <c r="L229" i="1"/>
  <c r="K229" i="1"/>
  <c r="M229" i="1" s="1"/>
  <c r="J229" i="1"/>
  <c r="L228" i="1"/>
  <c r="K228" i="1"/>
  <c r="M228" i="1" s="1"/>
  <c r="J228" i="1"/>
  <c r="L227" i="1"/>
  <c r="K227" i="1"/>
  <c r="M227" i="1" s="1"/>
  <c r="J227" i="1"/>
  <c r="L226" i="1"/>
  <c r="K226" i="1"/>
  <c r="M226" i="1" s="1"/>
  <c r="J226" i="1"/>
  <c r="L225" i="1"/>
  <c r="K225" i="1"/>
  <c r="M225" i="1" s="1"/>
  <c r="J225" i="1"/>
  <c r="L224" i="1"/>
  <c r="K224" i="1"/>
  <c r="M224" i="1" s="1"/>
  <c r="J224" i="1"/>
  <c r="L223" i="1"/>
  <c r="K223" i="1"/>
  <c r="M223" i="1" s="1"/>
  <c r="J223" i="1"/>
  <c r="L222" i="1"/>
  <c r="K222" i="1"/>
  <c r="M222" i="1" s="1"/>
  <c r="J222" i="1"/>
  <c r="L221" i="1"/>
  <c r="K221" i="1"/>
  <c r="M221" i="1" s="1"/>
  <c r="J221" i="1"/>
  <c r="L220" i="1"/>
  <c r="M220" i="1" s="1"/>
  <c r="K220" i="1"/>
  <c r="J220" i="1"/>
  <c r="L219" i="1"/>
  <c r="K219" i="1"/>
  <c r="M219" i="1" s="1"/>
  <c r="J219" i="1"/>
  <c r="L218" i="1"/>
  <c r="K218" i="1"/>
  <c r="M218" i="1" s="1"/>
  <c r="J218" i="1"/>
  <c r="L217" i="1"/>
  <c r="K217" i="1"/>
  <c r="M217" i="1" s="1"/>
  <c r="J217" i="1"/>
  <c r="L216" i="1"/>
  <c r="K216" i="1"/>
  <c r="M216" i="1" s="1"/>
  <c r="J216" i="1"/>
  <c r="L215" i="1"/>
  <c r="K215" i="1"/>
  <c r="M215" i="1" s="1"/>
  <c r="J215" i="1"/>
  <c r="L214" i="1"/>
  <c r="K214" i="1"/>
  <c r="M214" i="1" s="1"/>
  <c r="J214" i="1"/>
  <c r="L213" i="1"/>
  <c r="M213" i="1" s="1"/>
  <c r="K213" i="1"/>
  <c r="J213" i="1"/>
  <c r="L212" i="1"/>
  <c r="K212" i="1"/>
  <c r="M212" i="1" s="1"/>
  <c r="J212" i="1"/>
  <c r="M211" i="1"/>
  <c r="L211" i="1"/>
  <c r="K211" i="1"/>
  <c r="J211" i="1"/>
  <c r="L210" i="1"/>
  <c r="K210" i="1"/>
  <c r="M210" i="1" s="1"/>
  <c r="J210" i="1"/>
  <c r="L209" i="1"/>
  <c r="K209" i="1"/>
  <c r="M209" i="1" s="1"/>
  <c r="J209" i="1"/>
  <c r="L208" i="1"/>
  <c r="K208" i="1"/>
  <c r="M208" i="1" s="1"/>
  <c r="J208" i="1"/>
  <c r="L207" i="1"/>
  <c r="K207" i="1"/>
  <c r="M207" i="1" s="1"/>
  <c r="J207" i="1"/>
  <c r="L206" i="1"/>
  <c r="K206" i="1"/>
  <c r="M206" i="1" s="1"/>
  <c r="J206" i="1"/>
  <c r="L205" i="1"/>
  <c r="K205" i="1"/>
  <c r="M205" i="1" s="1"/>
  <c r="J205" i="1"/>
  <c r="M204" i="1"/>
  <c r="L204" i="1"/>
  <c r="K204" i="1"/>
  <c r="J204" i="1"/>
  <c r="L203" i="1"/>
  <c r="K203" i="1"/>
  <c r="M203" i="1" s="1"/>
  <c r="J203" i="1"/>
  <c r="L202" i="1"/>
  <c r="K202" i="1"/>
  <c r="M202" i="1" s="1"/>
  <c r="J202" i="1"/>
  <c r="L201" i="1"/>
  <c r="K201" i="1"/>
  <c r="M201" i="1" s="1"/>
  <c r="J201" i="1"/>
  <c r="L200" i="1"/>
  <c r="K200" i="1"/>
  <c r="M200" i="1" s="1"/>
  <c r="J200" i="1"/>
  <c r="L199" i="1"/>
  <c r="K199" i="1"/>
  <c r="M199" i="1" s="1"/>
  <c r="J199" i="1"/>
  <c r="L198" i="1"/>
  <c r="K198" i="1"/>
  <c r="M198" i="1" s="1"/>
  <c r="J198" i="1"/>
  <c r="L197" i="1"/>
  <c r="M197" i="1" s="1"/>
  <c r="K197" i="1"/>
  <c r="J197" i="1"/>
  <c r="L196" i="1"/>
  <c r="K196" i="1"/>
  <c r="M196" i="1" s="1"/>
  <c r="J196" i="1"/>
  <c r="L195" i="1"/>
  <c r="K195" i="1"/>
  <c r="M195" i="1" s="1"/>
  <c r="J195" i="1"/>
  <c r="L194" i="1"/>
  <c r="K194" i="1"/>
  <c r="M194" i="1" s="1"/>
  <c r="J194" i="1"/>
  <c r="L193" i="1"/>
  <c r="K193" i="1"/>
  <c r="M193" i="1" s="1"/>
  <c r="J193" i="1"/>
  <c r="L192" i="1"/>
  <c r="K192" i="1"/>
  <c r="M192" i="1" s="1"/>
  <c r="J192" i="1"/>
  <c r="L191" i="1"/>
  <c r="K191" i="1"/>
  <c r="M191" i="1" s="1"/>
  <c r="J191" i="1"/>
  <c r="L190" i="1"/>
  <c r="K190" i="1"/>
  <c r="M190" i="1" s="1"/>
  <c r="J190" i="1"/>
  <c r="L189" i="1"/>
  <c r="K189" i="1"/>
  <c r="M189" i="1" s="1"/>
  <c r="J189" i="1"/>
  <c r="L188" i="1"/>
  <c r="K188" i="1"/>
  <c r="M188" i="1" s="1"/>
  <c r="J188" i="1"/>
  <c r="M187" i="1"/>
  <c r="L187" i="1"/>
  <c r="K187" i="1"/>
  <c r="J187" i="1"/>
  <c r="L186" i="1"/>
  <c r="K186" i="1"/>
  <c r="M186" i="1" s="1"/>
  <c r="J186" i="1"/>
  <c r="L185" i="1"/>
  <c r="M185" i="1" s="1"/>
  <c r="K185" i="1"/>
  <c r="J185" i="1"/>
  <c r="L184" i="1"/>
  <c r="K184" i="1"/>
  <c r="M184" i="1" s="1"/>
  <c r="J184" i="1"/>
  <c r="L183" i="1"/>
  <c r="K183" i="1"/>
  <c r="M183" i="1" s="1"/>
  <c r="J183" i="1"/>
  <c r="L182" i="1"/>
  <c r="K182" i="1"/>
  <c r="M182" i="1" s="1"/>
  <c r="J182" i="1"/>
  <c r="L181" i="1"/>
  <c r="K181" i="1"/>
  <c r="M181" i="1" s="1"/>
  <c r="J181" i="1"/>
  <c r="L180" i="1"/>
  <c r="K180" i="1"/>
  <c r="M180" i="1" s="1"/>
  <c r="J180" i="1"/>
  <c r="M179" i="1"/>
  <c r="L179" i="1"/>
  <c r="K179" i="1"/>
  <c r="J179" i="1"/>
  <c r="L178" i="1"/>
  <c r="M178" i="1" s="1"/>
  <c r="K178" i="1"/>
  <c r="J178" i="1"/>
  <c r="L177" i="1"/>
  <c r="K177" i="1"/>
  <c r="M177" i="1" s="1"/>
  <c r="J177" i="1"/>
  <c r="L176" i="1"/>
  <c r="K176" i="1"/>
  <c r="J176" i="1"/>
  <c r="L175" i="1"/>
  <c r="K175" i="1"/>
  <c r="M175" i="1" s="1"/>
  <c r="J175" i="1"/>
  <c r="L174" i="1"/>
  <c r="K174" i="1"/>
  <c r="M174" i="1" s="1"/>
  <c r="J174" i="1"/>
  <c r="L173" i="1"/>
  <c r="K173" i="1"/>
  <c r="M173" i="1" s="1"/>
  <c r="J173" i="1"/>
  <c r="L172" i="1"/>
  <c r="K172" i="1"/>
  <c r="M172" i="1" s="1"/>
  <c r="J172" i="1"/>
  <c r="L171" i="1"/>
  <c r="K171" i="1"/>
  <c r="M171" i="1" s="1"/>
  <c r="J171" i="1"/>
  <c r="L170" i="1"/>
  <c r="K170" i="1"/>
  <c r="M170" i="1" s="1"/>
  <c r="J170" i="1"/>
  <c r="M169" i="1"/>
  <c r="L169" i="1"/>
  <c r="K169" i="1"/>
  <c r="J169" i="1"/>
  <c r="L168" i="1"/>
  <c r="K168" i="1"/>
  <c r="M168" i="1" s="1"/>
  <c r="J168" i="1"/>
  <c r="L167" i="1"/>
  <c r="K167" i="1"/>
  <c r="M167" i="1" s="1"/>
  <c r="J167" i="1"/>
  <c r="L166" i="1"/>
  <c r="K166" i="1"/>
  <c r="M166" i="1" s="1"/>
  <c r="J166" i="1"/>
  <c r="L165" i="1"/>
  <c r="K165" i="1"/>
  <c r="M165" i="1" s="1"/>
  <c r="J165" i="1"/>
  <c r="L164" i="1"/>
  <c r="K164" i="1"/>
  <c r="M164" i="1" s="1"/>
  <c r="J164" i="1"/>
  <c r="L163" i="1"/>
  <c r="K163" i="1"/>
  <c r="M163" i="1" s="1"/>
  <c r="J163" i="1"/>
  <c r="L162" i="1"/>
  <c r="K162" i="1"/>
  <c r="M162" i="1" s="1"/>
  <c r="J162" i="1"/>
  <c r="L161" i="1"/>
  <c r="K161" i="1"/>
  <c r="M161" i="1" s="1"/>
  <c r="J161" i="1"/>
  <c r="L160" i="1"/>
  <c r="K160" i="1"/>
  <c r="M160" i="1" s="1"/>
  <c r="J160" i="1"/>
  <c r="L159" i="1"/>
  <c r="K159" i="1"/>
  <c r="M159" i="1" s="1"/>
  <c r="J159" i="1"/>
  <c r="L158" i="1"/>
  <c r="K158" i="1"/>
  <c r="M158" i="1" s="1"/>
  <c r="J158" i="1"/>
  <c r="L157" i="1"/>
  <c r="K157" i="1"/>
  <c r="M157" i="1" s="1"/>
  <c r="J157" i="1"/>
  <c r="L156" i="1"/>
  <c r="K156" i="1"/>
  <c r="M156" i="1" s="1"/>
  <c r="J156" i="1"/>
  <c r="L155" i="1"/>
  <c r="K155" i="1"/>
  <c r="M155" i="1" s="1"/>
  <c r="J155" i="1"/>
  <c r="L154" i="1"/>
  <c r="K154" i="1"/>
  <c r="M154" i="1" s="1"/>
  <c r="J154" i="1"/>
  <c r="L153" i="1"/>
  <c r="K153" i="1"/>
  <c r="M153" i="1" s="1"/>
  <c r="J153" i="1"/>
  <c r="L152" i="1"/>
  <c r="K152" i="1"/>
  <c r="M152" i="1" s="1"/>
  <c r="J152" i="1"/>
  <c r="L151" i="1"/>
  <c r="K151" i="1"/>
  <c r="M151" i="1" s="1"/>
  <c r="J151" i="1"/>
  <c r="L150" i="1"/>
  <c r="K150" i="1"/>
  <c r="M150" i="1" s="1"/>
  <c r="J150" i="1"/>
  <c r="M149" i="1"/>
  <c r="L149" i="1"/>
  <c r="K149" i="1"/>
  <c r="J149" i="1"/>
  <c r="L148" i="1"/>
  <c r="K148" i="1"/>
  <c r="M148" i="1" s="1"/>
  <c r="J148" i="1"/>
  <c r="L147" i="1"/>
  <c r="K147" i="1"/>
  <c r="M147" i="1" s="1"/>
  <c r="J147" i="1"/>
  <c r="L146" i="1"/>
  <c r="K146" i="1"/>
  <c r="M146" i="1" s="1"/>
  <c r="J146" i="1"/>
  <c r="L145" i="1"/>
  <c r="K145" i="1"/>
  <c r="M145" i="1" s="1"/>
  <c r="J145" i="1"/>
  <c r="L144" i="1"/>
  <c r="K144" i="1"/>
  <c r="M144" i="1" s="1"/>
  <c r="J144" i="1"/>
  <c r="L143" i="1"/>
  <c r="K143" i="1"/>
  <c r="M143" i="1" s="1"/>
  <c r="J143" i="1"/>
  <c r="L142" i="1"/>
  <c r="K142" i="1"/>
  <c r="M142" i="1" s="1"/>
  <c r="J142" i="1"/>
  <c r="L141" i="1"/>
  <c r="K141" i="1"/>
  <c r="M141" i="1" s="1"/>
  <c r="J141" i="1"/>
  <c r="L140" i="1"/>
  <c r="K140" i="1"/>
  <c r="M140" i="1" s="1"/>
  <c r="J140" i="1"/>
  <c r="L139" i="1"/>
  <c r="K139" i="1"/>
  <c r="M139" i="1" s="1"/>
  <c r="J139" i="1"/>
  <c r="L138" i="1"/>
  <c r="K138" i="1"/>
  <c r="M138" i="1" s="1"/>
  <c r="J138" i="1"/>
  <c r="L137" i="1"/>
  <c r="K137" i="1"/>
  <c r="M137" i="1" s="1"/>
  <c r="J137" i="1"/>
  <c r="L136" i="1"/>
  <c r="K136" i="1"/>
  <c r="M136" i="1" s="1"/>
  <c r="J136" i="1"/>
  <c r="L135" i="1"/>
  <c r="K135" i="1"/>
  <c r="M135" i="1" s="1"/>
  <c r="J135" i="1"/>
  <c r="L134" i="1"/>
  <c r="K134" i="1"/>
  <c r="M134" i="1" s="1"/>
  <c r="J134" i="1"/>
  <c r="L133" i="1"/>
  <c r="K133" i="1"/>
  <c r="M133" i="1" s="1"/>
  <c r="J133" i="1"/>
  <c r="L132" i="1"/>
  <c r="K132" i="1"/>
  <c r="M132" i="1" s="1"/>
  <c r="J132" i="1"/>
  <c r="L131" i="1"/>
  <c r="K131" i="1"/>
  <c r="M131" i="1" s="1"/>
  <c r="J131" i="1"/>
  <c r="L130" i="1"/>
  <c r="K130" i="1"/>
  <c r="M130" i="1" s="1"/>
  <c r="J130" i="1"/>
  <c r="L129" i="1"/>
  <c r="K129" i="1"/>
  <c r="M129" i="1" s="1"/>
  <c r="J129" i="1"/>
  <c r="L128" i="1"/>
  <c r="K128" i="1"/>
  <c r="M128" i="1" s="1"/>
  <c r="J128" i="1"/>
  <c r="L127" i="1"/>
  <c r="K127" i="1"/>
  <c r="M127" i="1" s="1"/>
  <c r="J127" i="1"/>
  <c r="L126" i="1"/>
  <c r="K126" i="1"/>
  <c r="M126" i="1" s="1"/>
  <c r="J126" i="1"/>
  <c r="L125" i="1"/>
  <c r="K125" i="1"/>
  <c r="M125" i="1" s="1"/>
  <c r="J125" i="1"/>
  <c r="L124" i="1"/>
  <c r="K124" i="1"/>
  <c r="M124" i="1" s="1"/>
  <c r="J124" i="1"/>
  <c r="L123" i="1"/>
  <c r="M123" i="1" s="1"/>
  <c r="K123" i="1"/>
  <c r="J123" i="1"/>
  <c r="L122" i="1"/>
  <c r="K122" i="1"/>
  <c r="M122" i="1" s="1"/>
  <c r="J122" i="1"/>
  <c r="L121" i="1"/>
  <c r="K121" i="1"/>
  <c r="M121" i="1" s="1"/>
  <c r="J121" i="1"/>
  <c r="L120" i="1"/>
  <c r="K120" i="1"/>
  <c r="M120" i="1" s="1"/>
  <c r="J120" i="1"/>
  <c r="L119" i="1"/>
  <c r="K119" i="1"/>
  <c r="M119" i="1" s="1"/>
  <c r="J119" i="1"/>
  <c r="L118" i="1"/>
  <c r="K118" i="1"/>
  <c r="M118" i="1" s="1"/>
  <c r="J118" i="1"/>
  <c r="L117" i="1"/>
  <c r="K117" i="1"/>
  <c r="M117" i="1" s="1"/>
  <c r="J117" i="1"/>
  <c r="M116" i="1"/>
  <c r="L116" i="1"/>
  <c r="K116" i="1"/>
  <c r="J116" i="1"/>
  <c r="L115" i="1"/>
  <c r="K115" i="1"/>
  <c r="M115" i="1" s="1"/>
  <c r="J115" i="1"/>
  <c r="M114" i="1"/>
  <c r="L114" i="1"/>
  <c r="K114" i="1"/>
  <c r="J114" i="1"/>
  <c r="L113" i="1"/>
  <c r="K113" i="1"/>
  <c r="M113" i="1" s="1"/>
  <c r="J113" i="1"/>
  <c r="L112" i="1"/>
  <c r="K112" i="1"/>
  <c r="M112" i="1" s="1"/>
  <c r="J112" i="1"/>
  <c r="L111" i="1"/>
  <c r="K111" i="1"/>
  <c r="M111" i="1" s="1"/>
  <c r="J111" i="1"/>
  <c r="L110" i="1"/>
  <c r="K110" i="1"/>
  <c r="M110" i="1" s="1"/>
  <c r="J110" i="1"/>
  <c r="L109" i="1"/>
  <c r="K109" i="1"/>
  <c r="M109" i="1" s="1"/>
  <c r="J109" i="1"/>
  <c r="L108" i="1"/>
  <c r="K108" i="1"/>
  <c r="M108" i="1" s="1"/>
  <c r="J108" i="1"/>
  <c r="M107" i="1"/>
  <c r="L107" i="1"/>
  <c r="K107" i="1"/>
  <c r="J107" i="1"/>
  <c r="L106" i="1"/>
  <c r="K106" i="1"/>
  <c r="M106" i="1" s="1"/>
  <c r="J106" i="1"/>
  <c r="L105" i="1"/>
  <c r="K105" i="1"/>
  <c r="M105" i="1" s="1"/>
  <c r="J105" i="1"/>
  <c r="L104" i="1"/>
  <c r="K104" i="1"/>
  <c r="M104" i="1" s="1"/>
  <c r="J104" i="1"/>
  <c r="L103" i="1"/>
  <c r="K103" i="1"/>
  <c r="M103" i="1" s="1"/>
  <c r="J103" i="1"/>
  <c r="L102" i="1"/>
  <c r="K102" i="1"/>
  <c r="M102" i="1" s="1"/>
  <c r="J102" i="1"/>
  <c r="L101" i="1"/>
  <c r="K101" i="1"/>
  <c r="M101" i="1" s="1"/>
  <c r="J101" i="1"/>
  <c r="L100" i="1"/>
  <c r="K100" i="1"/>
  <c r="M100" i="1" s="1"/>
  <c r="J100" i="1"/>
  <c r="L99" i="1"/>
  <c r="M99" i="1" s="1"/>
  <c r="K99" i="1"/>
  <c r="J99" i="1"/>
  <c r="L98" i="1"/>
  <c r="K98" i="1"/>
  <c r="M98" i="1" s="1"/>
  <c r="J98" i="1"/>
  <c r="L97" i="1"/>
  <c r="K97" i="1"/>
  <c r="M97" i="1" s="1"/>
  <c r="J97" i="1"/>
  <c r="L96" i="1"/>
  <c r="K96" i="1"/>
  <c r="M96" i="1" s="1"/>
  <c r="J96" i="1"/>
  <c r="L95" i="1"/>
  <c r="K95" i="1"/>
  <c r="M95" i="1" s="1"/>
  <c r="J95" i="1"/>
  <c r="L94" i="1"/>
  <c r="K94" i="1"/>
  <c r="M94" i="1" s="1"/>
  <c r="J94" i="1"/>
  <c r="L93" i="1"/>
  <c r="K93" i="1"/>
  <c r="M93" i="1" s="1"/>
  <c r="J93" i="1"/>
  <c r="L92" i="1"/>
  <c r="K92" i="1"/>
  <c r="M92" i="1" s="1"/>
  <c r="J92" i="1"/>
  <c r="L91" i="1"/>
  <c r="K91" i="1"/>
  <c r="M91" i="1" s="1"/>
  <c r="J91" i="1"/>
  <c r="L90" i="1"/>
  <c r="K90" i="1"/>
  <c r="M90" i="1" s="1"/>
  <c r="J90" i="1"/>
  <c r="L89" i="1"/>
  <c r="K89" i="1"/>
  <c r="M89" i="1" s="1"/>
  <c r="J89" i="1"/>
  <c r="L88" i="1"/>
  <c r="K88" i="1"/>
  <c r="M88" i="1" s="1"/>
  <c r="J88" i="1"/>
  <c r="L87" i="1"/>
  <c r="K87" i="1"/>
  <c r="M87" i="1" s="1"/>
  <c r="J87" i="1"/>
  <c r="L86" i="1"/>
  <c r="K86" i="1"/>
  <c r="M86" i="1" s="1"/>
  <c r="J86" i="1"/>
  <c r="L85" i="1"/>
  <c r="K85" i="1"/>
  <c r="M85" i="1" s="1"/>
  <c r="J85" i="1"/>
  <c r="L84" i="1"/>
  <c r="K84" i="1"/>
  <c r="M84" i="1" s="1"/>
  <c r="J84" i="1"/>
  <c r="L83" i="1"/>
  <c r="K83" i="1"/>
  <c r="M83" i="1" s="1"/>
  <c r="J83" i="1"/>
  <c r="L82" i="1"/>
  <c r="K82" i="1"/>
  <c r="M82" i="1" s="1"/>
  <c r="J82" i="1"/>
  <c r="L81" i="1"/>
  <c r="M81" i="1" s="1"/>
  <c r="K81" i="1"/>
  <c r="J81" i="1"/>
  <c r="L80" i="1"/>
  <c r="K80" i="1"/>
  <c r="M80" i="1" s="1"/>
  <c r="J80" i="1"/>
  <c r="L79" i="1"/>
  <c r="K79" i="1"/>
  <c r="M79" i="1" s="1"/>
  <c r="J79" i="1"/>
  <c r="L78" i="1"/>
  <c r="K78" i="1"/>
  <c r="M78" i="1" s="1"/>
  <c r="J78" i="1"/>
  <c r="L77" i="1"/>
  <c r="K77" i="1"/>
  <c r="M77" i="1" s="1"/>
  <c r="J77" i="1"/>
  <c r="L76" i="1"/>
  <c r="K76" i="1"/>
  <c r="M76" i="1" s="1"/>
  <c r="J76" i="1"/>
  <c r="L75" i="1"/>
  <c r="K75" i="1"/>
  <c r="M75" i="1" s="1"/>
  <c r="J75" i="1"/>
  <c r="L74" i="1"/>
  <c r="K74" i="1"/>
  <c r="M74" i="1" s="1"/>
  <c r="J74" i="1"/>
  <c r="L73" i="1"/>
  <c r="K73" i="1"/>
  <c r="M73" i="1" s="1"/>
  <c r="J73" i="1"/>
  <c r="L72" i="1"/>
  <c r="K72" i="1"/>
  <c r="J72" i="1"/>
  <c r="L71" i="1"/>
  <c r="K71" i="1"/>
  <c r="M71" i="1" s="1"/>
  <c r="J71" i="1"/>
  <c r="L70" i="1"/>
  <c r="K70" i="1"/>
  <c r="M70" i="1" s="1"/>
  <c r="J70" i="1"/>
  <c r="L69" i="1"/>
  <c r="K69" i="1"/>
  <c r="M69" i="1" s="1"/>
  <c r="J69" i="1"/>
  <c r="L68" i="1"/>
  <c r="K68" i="1"/>
  <c r="M68" i="1" s="1"/>
  <c r="J68" i="1"/>
  <c r="L67" i="1"/>
  <c r="K67" i="1"/>
  <c r="M67" i="1" s="1"/>
  <c r="J67" i="1"/>
  <c r="L66" i="1"/>
  <c r="K66" i="1"/>
  <c r="M66" i="1" s="1"/>
  <c r="J66" i="1"/>
  <c r="L65" i="1"/>
  <c r="K65" i="1"/>
  <c r="M65" i="1" s="1"/>
  <c r="J65" i="1"/>
  <c r="L64" i="1"/>
  <c r="K64" i="1"/>
  <c r="M64" i="1" s="1"/>
  <c r="J64" i="1"/>
  <c r="L63" i="1"/>
  <c r="K63" i="1"/>
  <c r="M63" i="1" s="1"/>
  <c r="J63" i="1"/>
  <c r="L62" i="1"/>
  <c r="K62" i="1"/>
  <c r="M62" i="1" s="1"/>
  <c r="J62" i="1"/>
  <c r="L61" i="1"/>
  <c r="M61" i="1" s="1"/>
  <c r="K61" i="1"/>
  <c r="J61" i="1"/>
  <c r="L60" i="1"/>
  <c r="K60" i="1"/>
  <c r="M60" i="1" s="1"/>
  <c r="J60" i="1"/>
  <c r="L59" i="1"/>
  <c r="K59" i="1"/>
  <c r="M59" i="1" s="1"/>
  <c r="J59" i="1"/>
  <c r="L58" i="1"/>
  <c r="K58" i="1"/>
  <c r="M58" i="1" s="1"/>
  <c r="J58" i="1"/>
  <c r="L57" i="1"/>
  <c r="K57" i="1"/>
  <c r="M57" i="1" s="1"/>
  <c r="J57" i="1"/>
  <c r="L56" i="1"/>
  <c r="K56" i="1"/>
  <c r="J56" i="1"/>
  <c r="L55" i="1"/>
  <c r="K55" i="1"/>
  <c r="M55" i="1" s="1"/>
  <c r="J55" i="1"/>
  <c r="L54" i="1"/>
  <c r="K54" i="1"/>
  <c r="M54" i="1" s="1"/>
  <c r="J54" i="1"/>
  <c r="L53" i="1"/>
  <c r="K53" i="1"/>
  <c r="M53" i="1" s="1"/>
  <c r="J53" i="1"/>
  <c r="M52" i="1"/>
  <c r="L52" i="1"/>
  <c r="K52" i="1"/>
  <c r="J52" i="1"/>
  <c r="L51" i="1"/>
  <c r="K51" i="1"/>
  <c r="M51" i="1" s="1"/>
  <c r="J51" i="1"/>
  <c r="L50" i="1"/>
  <c r="K50" i="1"/>
  <c r="M50" i="1" s="1"/>
  <c r="J50" i="1"/>
  <c r="L49" i="1"/>
  <c r="K49" i="1"/>
  <c r="M49" i="1" s="1"/>
  <c r="J49" i="1"/>
  <c r="L48" i="1"/>
  <c r="K48" i="1"/>
  <c r="M48" i="1" s="1"/>
  <c r="J48" i="1"/>
  <c r="L47" i="1"/>
  <c r="K47" i="1"/>
  <c r="M47" i="1" s="1"/>
  <c r="J47" i="1"/>
  <c r="L46" i="1"/>
  <c r="K46" i="1"/>
  <c r="M46" i="1" s="1"/>
  <c r="J46" i="1"/>
  <c r="M45" i="1"/>
  <c r="L45" i="1"/>
  <c r="K45" i="1"/>
  <c r="J45" i="1"/>
  <c r="L44" i="1"/>
  <c r="K44" i="1"/>
  <c r="M44" i="1" s="1"/>
  <c r="J44" i="1"/>
  <c r="L43" i="1"/>
  <c r="K43" i="1"/>
  <c r="M43" i="1" s="1"/>
  <c r="J43" i="1"/>
  <c r="L42" i="1"/>
  <c r="K42" i="1"/>
  <c r="M42" i="1" s="1"/>
  <c r="J42" i="1"/>
  <c r="L41" i="1"/>
  <c r="K41" i="1"/>
  <c r="M41" i="1" s="1"/>
  <c r="J41" i="1"/>
  <c r="L40" i="1"/>
  <c r="K40" i="1"/>
  <c r="M40" i="1" s="1"/>
  <c r="J40" i="1"/>
  <c r="L39" i="1"/>
  <c r="K39" i="1"/>
  <c r="M39" i="1" s="1"/>
  <c r="J39" i="1"/>
  <c r="L38" i="1"/>
  <c r="K38" i="1"/>
  <c r="M38" i="1" s="1"/>
  <c r="J38" i="1"/>
  <c r="L37" i="1"/>
  <c r="K37" i="1"/>
  <c r="M37" i="1" s="1"/>
  <c r="J37" i="1"/>
  <c r="L36" i="1"/>
  <c r="K36" i="1"/>
  <c r="M36" i="1" s="1"/>
  <c r="J36" i="1"/>
  <c r="L35" i="1"/>
  <c r="K35" i="1"/>
  <c r="M35" i="1" s="1"/>
  <c r="J35" i="1"/>
  <c r="L34" i="1"/>
  <c r="K34" i="1"/>
  <c r="M34" i="1" s="1"/>
  <c r="J34" i="1"/>
  <c r="L33" i="1"/>
  <c r="K33" i="1"/>
  <c r="M33" i="1" s="1"/>
  <c r="J33" i="1"/>
  <c r="L32" i="1"/>
  <c r="K32" i="1"/>
  <c r="M32" i="1" s="1"/>
  <c r="J32" i="1"/>
  <c r="L31" i="1"/>
  <c r="K31" i="1"/>
  <c r="M31" i="1" s="1"/>
  <c r="J31" i="1"/>
  <c r="L30" i="1"/>
  <c r="K30" i="1"/>
  <c r="M30" i="1" s="1"/>
  <c r="J30" i="1"/>
  <c r="L29" i="1"/>
  <c r="K29" i="1"/>
  <c r="M29" i="1" s="1"/>
  <c r="J29" i="1"/>
  <c r="L28" i="1"/>
  <c r="M28" i="1" s="1"/>
  <c r="K28" i="1"/>
  <c r="J28" i="1"/>
  <c r="L27" i="1"/>
  <c r="K27" i="1"/>
  <c r="M27" i="1" s="1"/>
  <c r="J27" i="1"/>
  <c r="L26" i="1"/>
  <c r="M26" i="1" s="1"/>
  <c r="K26" i="1"/>
  <c r="J26" i="1"/>
  <c r="L25" i="1"/>
  <c r="K25" i="1"/>
  <c r="M25" i="1" s="1"/>
  <c r="J25" i="1"/>
  <c r="L24" i="1"/>
  <c r="K24" i="1"/>
  <c r="M24" i="1" s="1"/>
  <c r="J24" i="1"/>
  <c r="L23" i="1"/>
  <c r="K23" i="1"/>
  <c r="M23" i="1" s="1"/>
  <c r="J23" i="1"/>
  <c r="L22" i="1"/>
  <c r="K22" i="1"/>
  <c r="M22" i="1" s="1"/>
  <c r="J22" i="1"/>
  <c r="L21" i="1"/>
  <c r="K21" i="1"/>
  <c r="M21" i="1" s="1"/>
  <c r="J21" i="1"/>
  <c r="L20" i="1"/>
  <c r="K20" i="1"/>
  <c r="M20" i="1" s="1"/>
  <c r="J20" i="1"/>
  <c r="L19" i="1"/>
  <c r="M19" i="1" s="1"/>
  <c r="K19" i="1"/>
  <c r="J19" i="1"/>
  <c r="L18" i="1"/>
  <c r="K18" i="1"/>
  <c r="M18" i="1" s="1"/>
  <c r="J18" i="1"/>
  <c r="M17" i="1"/>
  <c r="L17" i="1"/>
  <c r="K17" i="1"/>
  <c r="J17" i="1"/>
  <c r="L16" i="1"/>
  <c r="K16" i="1"/>
  <c r="M16" i="1" s="1"/>
  <c r="J16" i="1"/>
  <c r="L15" i="1"/>
  <c r="K15" i="1"/>
  <c r="M15" i="1" s="1"/>
  <c r="J15" i="1"/>
  <c r="L14" i="1"/>
  <c r="K14" i="1"/>
  <c r="M14" i="1" s="1"/>
  <c r="J14" i="1"/>
  <c r="L13" i="1"/>
  <c r="K13" i="1"/>
  <c r="M13" i="1" s="1"/>
  <c r="J13" i="1"/>
  <c r="L12" i="1"/>
  <c r="K12" i="1"/>
  <c r="M12" i="1" s="1"/>
  <c r="J12" i="1"/>
  <c r="L11" i="1"/>
  <c r="K11" i="1"/>
  <c r="M11" i="1" s="1"/>
  <c r="J11" i="1"/>
  <c r="M10" i="1"/>
  <c r="L10" i="1"/>
  <c r="K10" i="1"/>
  <c r="J10" i="1"/>
  <c r="L9" i="1"/>
  <c r="K9" i="1"/>
  <c r="M9" i="1" s="1"/>
  <c r="J9" i="1"/>
  <c r="L8" i="1"/>
  <c r="K8" i="1"/>
  <c r="M8" i="1" s="1"/>
  <c r="J8" i="1"/>
  <c r="L7" i="1"/>
  <c r="K7" i="1"/>
  <c r="M7" i="1" s="1"/>
  <c r="J7" i="1"/>
  <c r="L6" i="1"/>
  <c r="K6" i="1"/>
  <c r="M6" i="1" s="1"/>
  <c r="J6" i="1"/>
  <c r="L5" i="1"/>
  <c r="K5" i="1"/>
  <c r="M5" i="1" s="1"/>
  <c r="J5" i="1"/>
  <c r="L4" i="1"/>
  <c r="K4" i="1"/>
  <c r="M4" i="1" s="1"/>
  <c r="J4" i="1"/>
  <c r="L3" i="1"/>
  <c r="K3" i="1"/>
  <c r="M3" i="1" s="1"/>
  <c r="J3" i="1"/>
  <c r="L2" i="1"/>
  <c r="K2" i="1"/>
  <c r="M2" i="1" s="1"/>
  <c r="J2" i="1"/>
  <c r="M56" i="1" l="1"/>
  <c r="M480" i="1"/>
  <c r="M461" i="1"/>
  <c r="M176" i="1"/>
  <c r="M432" i="1"/>
  <c r="M336" i="1"/>
  <c r="M72" i="1"/>
  <c r="M328" i="1"/>
</calcChain>
</file>

<file path=xl/sharedStrings.xml><?xml version="1.0" encoding="utf-8"?>
<sst xmlns="http://schemas.openxmlformats.org/spreadsheetml/2006/main" count="2498" uniqueCount="39">
  <si>
    <t>ID</t>
  </si>
  <si>
    <t>Project Type</t>
  </si>
  <si>
    <t>Area (m²)</t>
  </si>
  <si>
    <t>AI Adoption Level (%)</t>
  </si>
  <si>
    <t>Material Reuse (%)</t>
  </si>
  <si>
    <t>Material Recycling (%)</t>
  </si>
  <si>
    <t>Waste Prediction System</t>
  </si>
  <si>
    <t>Smart Monitoring</t>
  </si>
  <si>
    <t>Circular Design Approach</t>
  </si>
  <si>
    <t>Resource Efficiency Score</t>
  </si>
  <si>
    <t>Circularity Index (%)</t>
  </si>
  <si>
    <t>Waste Reduction (%)</t>
  </si>
  <si>
    <t>Sustainability Score</t>
  </si>
  <si>
    <t>Commercial</t>
  </si>
  <si>
    <t>Yes</t>
  </si>
  <si>
    <t>Residential</t>
  </si>
  <si>
    <t>No</t>
  </si>
  <si>
    <t>Infrastructure</t>
  </si>
  <si>
    <t>AI in Construction and Circular Economy - Formula Reference</t>
  </si>
  <si>
    <t>AI Adoption × Project Factor × Monitoring Factor</t>
  </si>
  <si>
    <t>Residential Factor</t>
  </si>
  <si>
    <t>0.90</t>
  </si>
  <si>
    <t>Commercial Factor</t>
  </si>
  <si>
    <t>1.00</t>
  </si>
  <si>
    <t>Infrastructure Factor</t>
  </si>
  <si>
    <t>1.10</t>
  </si>
  <si>
    <t>Monitoring Factor (Yes)</t>
  </si>
  <si>
    <t>Circularity Index</t>
  </si>
  <si>
    <t>((Reuse×100)+(Recycling×90))/100 + Circular Design Bonus</t>
  </si>
  <si>
    <t>Circular Design Bonus</t>
  </si>
  <si>
    <t>+10 if Yes</t>
  </si>
  <si>
    <t>Waste Reduction</t>
  </si>
  <si>
    <t>(AI×0.5)+Prediction Bonus+Monitoring Bonus</t>
  </si>
  <si>
    <t>Prediction Bonus</t>
  </si>
  <si>
    <t>Monitoring Bonus</t>
  </si>
  <si>
    <t>+5 if Yes</t>
  </si>
  <si>
    <t>(Circularity Index×0.6)+(Waste Reduction×0.4)</t>
  </si>
  <si>
    <t>Example Row 2</t>
  </si>
  <si>
    <t>AI=70, Commercial, Monitoring=Yes → RES=70×1×1.1=77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</si>
</sst>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6"/>
  <sheetViews>
    <sheetView tabSelected="1" workbookViewId="0">
      <selection activeCell="I1" sqref="I1"/>
    </sheetView>
  </sheetViews>
  <sheetFormatPr defaultRowHeight="14.25" x14ac:dyDescent="0.45"/>
  <cols>
    <col min="2" max="2" width="12.33203125" bestFit="1" customWidth="1"/>
    <col min="4" max="4" width="18.796875" bestFit="1" customWidth="1"/>
    <col min="5" max="5" width="16.59765625" bestFit="1" customWidth="1"/>
    <col min="6" max="6" width="19.265625" bestFit="1" customWidth="1"/>
    <col min="7" max="7" width="21.9296875" bestFit="1" customWidth="1"/>
    <col min="8" max="8" width="15.73046875" bestFit="1" customWidth="1"/>
    <col min="9" max="10" width="22" bestFit="1" customWidth="1"/>
    <col min="11" max="11" width="17.73046875" bestFit="1" customWidth="1"/>
    <col min="12" max="12" width="18.46484375" bestFit="1" customWidth="1"/>
    <col min="13" max="13" width="17.199218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1</v>
      </c>
      <c r="B2" t="s">
        <v>13</v>
      </c>
      <c r="C2">
        <v>500</v>
      </c>
      <c r="D2">
        <v>70</v>
      </c>
      <c r="E2">
        <v>40</v>
      </c>
      <c r="F2">
        <v>30</v>
      </c>
      <c r="G2" t="s">
        <v>14</v>
      </c>
      <c r="H2" t="s">
        <v>14</v>
      </c>
      <c r="I2" t="s">
        <v>14</v>
      </c>
      <c r="J2">
        <f t="shared" ref="J2:J65" si="0">D2*(IF(B2="Residential",0.9,IF(B2="Commercial",1,IF(B2="Infrastructure",1.1,1))))*(IF(H2="Yes",1.1,1))</f>
        <v>77</v>
      </c>
      <c r="K2">
        <f t="shared" ref="K2:K65" si="1">MIN((((E2*100)+(F2*90))/100)+IF(I2="Yes",10,0),100)</f>
        <v>77</v>
      </c>
      <c r="L2">
        <f t="shared" ref="L2:L65" si="2">MIN((D2*0.5)+IF(G2="Yes",10,0)+IF(H2="Yes",5,0),100)</f>
        <v>50</v>
      </c>
      <c r="M2">
        <f t="shared" ref="M2:M65" si="3">MIN((K2*0.6)+(L2*0.4),100)</f>
        <v>66.199999999999989</v>
      </c>
    </row>
    <row r="3" spans="1:13" x14ac:dyDescent="0.45">
      <c r="A3">
        <v>2</v>
      </c>
      <c r="B3" t="s">
        <v>15</v>
      </c>
      <c r="C3">
        <v>250</v>
      </c>
      <c r="D3">
        <v>55</v>
      </c>
      <c r="E3">
        <v>35</v>
      </c>
      <c r="F3">
        <v>25</v>
      </c>
      <c r="G3" t="s">
        <v>14</v>
      </c>
      <c r="H3" t="s">
        <v>16</v>
      </c>
      <c r="I3" t="s">
        <v>14</v>
      </c>
      <c r="J3">
        <f t="shared" si="0"/>
        <v>49.5</v>
      </c>
      <c r="K3">
        <f t="shared" si="1"/>
        <v>67.5</v>
      </c>
      <c r="L3">
        <f t="shared" si="2"/>
        <v>37.5</v>
      </c>
      <c r="M3">
        <f t="shared" si="3"/>
        <v>55.5</v>
      </c>
    </row>
    <row r="4" spans="1:13" x14ac:dyDescent="0.45">
      <c r="A4">
        <v>3</v>
      </c>
      <c r="B4" t="s">
        <v>17</v>
      </c>
      <c r="C4">
        <v>1200</v>
      </c>
      <c r="D4">
        <v>85</v>
      </c>
      <c r="E4">
        <v>50</v>
      </c>
      <c r="F4">
        <v>35</v>
      </c>
      <c r="G4" t="s">
        <v>14</v>
      </c>
      <c r="H4" t="s">
        <v>14</v>
      </c>
      <c r="I4" t="s">
        <v>14</v>
      </c>
      <c r="J4">
        <f t="shared" si="0"/>
        <v>102.85000000000002</v>
      </c>
      <c r="K4">
        <f t="shared" si="1"/>
        <v>91.5</v>
      </c>
      <c r="L4">
        <f t="shared" si="2"/>
        <v>57.5</v>
      </c>
      <c r="M4">
        <f t="shared" si="3"/>
        <v>77.900000000000006</v>
      </c>
    </row>
    <row r="5" spans="1:13" x14ac:dyDescent="0.45">
      <c r="A5">
        <v>4</v>
      </c>
      <c r="B5" t="s">
        <v>13</v>
      </c>
      <c r="C5">
        <v>700</v>
      </c>
      <c r="D5">
        <v>60</v>
      </c>
      <c r="E5">
        <v>30</v>
      </c>
      <c r="F5">
        <v>40</v>
      </c>
      <c r="G5" t="s">
        <v>16</v>
      </c>
      <c r="H5" t="s">
        <v>14</v>
      </c>
      <c r="I5" t="s">
        <v>16</v>
      </c>
      <c r="J5">
        <f t="shared" si="0"/>
        <v>66</v>
      </c>
      <c r="K5">
        <f t="shared" si="1"/>
        <v>66</v>
      </c>
      <c r="L5">
        <f t="shared" si="2"/>
        <v>35</v>
      </c>
      <c r="M5">
        <f t="shared" si="3"/>
        <v>53.6</v>
      </c>
    </row>
    <row r="6" spans="1:13" x14ac:dyDescent="0.45">
      <c r="A6">
        <v>5</v>
      </c>
      <c r="B6" t="s">
        <v>15</v>
      </c>
      <c r="C6">
        <v>180</v>
      </c>
      <c r="D6">
        <v>45</v>
      </c>
      <c r="E6">
        <v>25</v>
      </c>
      <c r="F6">
        <v>20</v>
      </c>
      <c r="G6" t="s">
        <v>16</v>
      </c>
      <c r="H6" t="s">
        <v>16</v>
      </c>
      <c r="I6" t="s">
        <v>14</v>
      </c>
      <c r="J6">
        <f t="shared" si="0"/>
        <v>40.5</v>
      </c>
      <c r="K6">
        <f t="shared" si="1"/>
        <v>53</v>
      </c>
      <c r="L6">
        <f t="shared" si="2"/>
        <v>22.5</v>
      </c>
      <c r="M6">
        <f t="shared" si="3"/>
        <v>40.799999999999997</v>
      </c>
    </row>
    <row r="7" spans="1:13" x14ac:dyDescent="0.45">
      <c r="A7">
        <v>6</v>
      </c>
      <c r="B7" t="s">
        <v>17</v>
      </c>
      <c r="C7">
        <v>900</v>
      </c>
      <c r="D7">
        <v>75</v>
      </c>
      <c r="E7">
        <v>45</v>
      </c>
      <c r="F7">
        <v>30</v>
      </c>
      <c r="G7" t="s">
        <v>14</v>
      </c>
      <c r="H7" t="s">
        <v>14</v>
      </c>
      <c r="I7" t="s">
        <v>16</v>
      </c>
      <c r="J7">
        <f t="shared" si="0"/>
        <v>90.750000000000014</v>
      </c>
      <c r="K7">
        <f t="shared" si="1"/>
        <v>72</v>
      </c>
      <c r="L7">
        <f t="shared" si="2"/>
        <v>52.5</v>
      </c>
      <c r="M7">
        <f t="shared" si="3"/>
        <v>64.199999999999989</v>
      </c>
    </row>
    <row r="8" spans="1:13" x14ac:dyDescent="0.45">
      <c r="A8">
        <v>7</v>
      </c>
      <c r="B8" t="s">
        <v>13</v>
      </c>
      <c r="C8">
        <v>650</v>
      </c>
      <c r="D8">
        <v>80</v>
      </c>
      <c r="E8">
        <v>50</v>
      </c>
      <c r="F8">
        <v>25</v>
      </c>
      <c r="G8" t="s">
        <v>14</v>
      </c>
      <c r="H8" t="s">
        <v>14</v>
      </c>
      <c r="I8" t="s">
        <v>14</v>
      </c>
      <c r="J8">
        <f t="shared" si="0"/>
        <v>88</v>
      </c>
      <c r="K8">
        <f t="shared" si="1"/>
        <v>82.5</v>
      </c>
      <c r="L8">
        <f t="shared" si="2"/>
        <v>55</v>
      </c>
      <c r="M8">
        <f t="shared" si="3"/>
        <v>71.5</v>
      </c>
    </row>
    <row r="9" spans="1:13" x14ac:dyDescent="0.45">
      <c r="A9">
        <v>8</v>
      </c>
      <c r="B9" t="s">
        <v>15</v>
      </c>
      <c r="C9">
        <v>300</v>
      </c>
      <c r="D9">
        <v>65</v>
      </c>
      <c r="E9">
        <v>40</v>
      </c>
      <c r="F9">
        <v>20</v>
      </c>
      <c r="G9" t="s">
        <v>14</v>
      </c>
      <c r="H9" t="s">
        <v>16</v>
      </c>
      <c r="I9" t="s">
        <v>16</v>
      </c>
      <c r="J9">
        <f t="shared" si="0"/>
        <v>58.5</v>
      </c>
      <c r="K9">
        <f t="shared" si="1"/>
        <v>58</v>
      </c>
      <c r="L9">
        <f t="shared" si="2"/>
        <v>42.5</v>
      </c>
      <c r="M9">
        <f t="shared" si="3"/>
        <v>51.8</v>
      </c>
    </row>
    <row r="10" spans="1:13" x14ac:dyDescent="0.45">
      <c r="A10">
        <v>9</v>
      </c>
      <c r="B10" t="s">
        <v>17</v>
      </c>
      <c r="C10">
        <v>1500</v>
      </c>
      <c r="D10">
        <v>90</v>
      </c>
      <c r="E10">
        <v>55</v>
      </c>
      <c r="F10">
        <v>35</v>
      </c>
      <c r="G10" t="s">
        <v>14</v>
      </c>
      <c r="H10" t="s">
        <v>14</v>
      </c>
      <c r="I10" t="s">
        <v>14</v>
      </c>
      <c r="J10">
        <f t="shared" si="0"/>
        <v>108.90000000000002</v>
      </c>
      <c r="K10">
        <f t="shared" si="1"/>
        <v>96.5</v>
      </c>
      <c r="L10">
        <f t="shared" si="2"/>
        <v>60</v>
      </c>
      <c r="M10">
        <f t="shared" si="3"/>
        <v>81.900000000000006</v>
      </c>
    </row>
    <row r="11" spans="1:13" x14ac:dyDescent="0.45">
      <c r="A11">
        <v>10</v>
      </c>
      <c r="B11" t="s">
        <v>13</v>
      </c>
      <c r="C11">
        <v>800</v>
      </c>
      <c r="D11">
        <v>72</v>
      </c>
      <c r="E11">
        <v>42</v>
      </c>
      <c r="F11">
        <v>28</v>
      </c>
      <c r="G11" t="s">
        <v>16</v>
      </c>
      <c r="H11" t="s">
        <v>14</v>
      </c>
      <c r="I11" t="s">
        <v>14</v>
      </c>
      <c r="J11">
        <f t="shared" si="0"/>
        <v>79.2</v>
      </c>
      <c r="K11">
        <f t="shared" si="1"/>
        <v>77.2</v>
      </c>
      <c r="L11">
        <f t="shared" si="2"/>
        <v>41</v>
      </c>
      <c r="M11">
        <f t="shared" si="3"/>
        <v>62.72</v>
      </c>
    </row>
    <row r="12" spans="1:13" x14ac:dyDescent="0.45">
      <c r="A12">
        <v>11</v>
      </c>
      <c r="B12" t="s">
        <v>15</v>
      </c>
      <c r="C12">
        <v>220</v>
      </c>
      <c r="D12">
        <v>50</v>
      </c>
      <c r="E12">
        <v>30</v>
      </c>
      <c r="F12">
        <v>25</v>
      </c>
      <c r="G12" t="s">
        <v>14</v>
      </c>
      <c r="H12" t="s">
        <v>16</v>
      </c>
      <c r="I12" t="s">
        <v>16</v>
      </c>
      <c r="J12">
        <f t="shared" si="0"/>
        <v>45</v>
      </c>
      <c r="K12">
        <f t="shared" si="1"/>
        <v>52.5</v>
      </c>
      <c r="L12">
        <f t="shared" si="2"/>
        <v>35</v>
      </c>
      <c r="M12">
        <f t="shared" si="3"/>
        <v>45.5</v>
      </c>
    </row>
    <row r="13" spans="1:13" x14ac:dyDescent="0.45">
      <c r="A13">
        <v>12</v>
      </c>
      <c r="B13" t="s">
        <v>17</v>
      </c>
      <c r="C13">
        <v>1000</v>
      </c>
      <c r="D13">
        <v>78</v>
      </c>
      <c r="E13">
        <v>48</v>
      </c>
      <c r="F13">
        <v>32</v>
      </c>
      <c r="G13" t="s">
        <v>14</v>
      </c>
      <c r="H13" t="s">
        <v>14</v>
      </c>
      <c r="I13" t="s">
        <v>14</v>
      </c>
      <c r="J13">
        <f t="shared" si="0"/>
        <v>94.380000000000024</v>
      </c>
      <c r="K13">
        <f t="shared" si="1"/>
        <v>86.8</v>
      </c>
      <c r="L13">
        <f t="shared" si="2"/>
        <v>54</v>
      </c>
      <c r="M13">
        <f t="shared" si="3"/>
        <v>73.680000000000007</v>
      </c>
    </row>
    <row r="14" spans="1:13" x14ac:dyDescent="0.45">
      <c r="A14">
        <v>13</v>
      </c>
      <c r="B14" t="s">
        <v>13</v>
      </c>
      <c r="C14">
        <v>550</v>
      </c>
      <c r="D14">
        <v>68</v>
      </c>
      <c r="E14">
        <v>38</v>
      </c>
      <c r="F14">
        <v>27</v>
      </c>
      <c r="G14" t="s">
        <v>16</v>
      </c>
      <c r="H14" t="s">
        <v>14</v>
      </c>
      <c r="I14" t="s">
        <v>16</v>
      </c>
      <c r="J14">
        <f t="shared" si="0"/>
        <v>74.800000000000011</v>
      </c>
      <c r="K14">
        <f t="shared" si="1"/>
        <v>62.3</v>
      </c>
      <c r="L14">
        <f t="shared" si="2"/>
        <v>39</v>
      </c>
      <c r="M14">
        <f t="shared" si="3"/>
        <v>52.98</v>
      </c>
    </row>
    <row r="15" spans="1:13" x14ac:dyDescent="0.45">
      <c r="A15">
        <v>14</v>
      </c>
      <c r="B15" t="s">
        <v>15</v>
      </c>
      <c r="C15">
        <v>270</v>
      </c>
      <c r="D15">
        <v>58</v>
      </c>
      <c r="E15">
        <v>36</v>
      </c>
      <c r="F15">
        <v>22</v>
      </c>
      <c r="G15" t="s">
        <v>14</v>
      </c>
      <c r="H15" t="s">
        <v>16</v>
      </c>
      <c r="I15" t="s">
        <v>14</v>
      </c>
      <c r="J15">
        <f t="shared" si="0"/>
        <v>52.2</v>
      </c>
      <c r="K15">
        <f t="shared" si="1"/>
        <v>65.8</v>
      </c>
      <c r="L15">
        <f t="shared" si="2"/>
        <v>39</v>
      </c>
      <c r="M15">
        <f t="shared" si="3"/>
        <v>55.08</v>
      </c>
    </row>
    <row r="16" spans="1:13" x14ac:dyDescent="0.45">
      <c r="A16">
        <v>15</v>
      </c>
      <c r="B16" t="s">
        <v>17</v>
      </c>
      <c r="C16">
        <v>1300</v>
      </c>
      <c r="D16">
        <v>88</v>
      </c>
      <c r="E16">
        <v>52</v>
      </c>
      <c r="F16">
        <v>34</v>
      </c>
      <c r="G16" t="s">
        <v>14</v>
      </c>
      <c r="H16" t="s">
        <v>14</v>
      </c>
      <c r="I16" t="s">
        <v>14</v>
      </c>
      <c r="J16">
        <f t="shared" si="0"/>
        <v>106.48000000000002</v>
      </c>
      <c r="K16">
        <f t="shared" si="1"/>
        <v>92.6</v>
      </c>
      <c r="L16">
        <f t="shared" si="2"/>
        <v>59</v>
      </c>
      <c r="M16">
        <f t="shared" si="3"/>
        <v>79.16</v>
      </c>
    </row>
    <row r="17" spans="1:13" x14ac:dyDescent="0.45">
      <c r="A17">
        <v>16</v>
      </c>
      <c r="B17" t="s">
        <v>13</v>
      </c>
      <c r="C17">
        <v>1829</v>
      </c>
      <c r="D17">
        <v>70</v>
      </c>
      <c r="E17">
        <v>45</v>
      </c>
      <c r="F17">
        <v>20</v>
      </c>
      <c r="G17" t="s">
        <v>14</v>
      </c>
      <c r="H17" t="s">
        <v>14</v>
      </c>
      <c r="I17" t="s">
        <v>14</v>
      </c>
      <c r="J17">
        <f t="shared" si="0"/>
        <v>77</v>
      </c>
      <c r="K17">
        <f t="shared" si="1"/>
        <v>73</v>
      </c>
      <c r="L17">
        <f t="shared" si="2"/>
        <v>50</v>
      </c>
      <c r="M17">
        <f t="shared" si="3"/>
        <v>63.8</v>
      </c>
    </row>
    <row r="18" spans="1:13" x14ac:dyDescent="0.45">
      <c r="A18">
        <v>17</v>
      </c>
      <c r="B18" t="s">
        <v>17</v>
      </c>
      <c r="C18">
        <v>408</v>
      </c>
      <c r="D18">
        <v>44</v>
      </c>
      <c r="E18">
        <v>49</v>
      </c>
      <c r="F18">
        <v>39</v>
      </c>
      <c r="G18" t="s">
        <v>14</v>
      </c>
      <c r="H18" t="s">
        <v>16</v>
      </c>
      <c r="I18" t="s">
        <v>16</v>
      </c>
      <c r="J18">
        <f t="shared" si="0"/>
        <v>48.400000000000006</v>
      </c>
      <c r="K18">
        <f t="shared" si="1"/>
        <v>84.1</v>
      </c>
      <c r="L18">
        <f t="shared" si="2"/>
        <v>32</v>
      </c>
      <c r="M18">
        <f t="shared" si="3"/>
        <v>63.259999999999991</v>
      </c>
    </row>
    <row r="19" spans="1:13" x14ac:dyDescent="0.45">
      <c r="A19">
        <v>18</v>
      </c>
      <c r="B19" t="s">
        <v>15</v>
      </c>
      <c r="C19">
        <v>1948</v>
      </c>
      <c r="D19">
        <v>92</v>
      </c>
      <c r="E19">
        <v>58</v>
      </c>
      <c r="F19">
        <v>20</v>
      </c>
      <c r="G19" t="s">
        <v>16</v>
      </c>
      <c r="H19" t="s">
        <v>16</v>
      </c>
      <c r="I19" t="s">
        <v>16</v>
      </c>
      <c r="J19">
        <f t="shared" si="0"/>
        <v>82.8</v>
      </c>
      <c r="K19">
        <f t="shared" si="1"/>
        <v>76</v>
      </c>
      <c r="L19">
        <f t="shared" si="2"/>
        <v>46</v>
      </c>
      <c r="M19">
        <f t="shared" si="3"/>
        <v>64</v>
      </c>
    </row>
    <row r="20" spans="1:13" x14ac:dyDescent="0.45">
      <c r="A20">
        <v>19</v>
      </c>
      <c r="B20" t="s">
        <v>13</v>
      </c>
      <c r="C20">
        <v>547</v>
      </c>
      <c r="D20">
        <v>50</v>
      </c>
      <c r="E20">
        <v>39</v>
      </c>
      <c r="F20">
        <v>37</v>
      </c>
      <c r="G20" t="s">
        <v>16</v>
      </c>
      <c r="H20" t="s">
        <v>14</v>
      </c>
      <c r="I20" t="s">
        <v>16</v>
      </c>
      <c r="J20">
        <f t="shared" si="0"/>
        <v>55.000000000000007</v>
      </c>
      <c r="K20">
        <f t="shared" si="1"/>
        <v>72.3</v>
      </c>
      <c r="L20">
        <f t="shared" si="2"/>
        <v>30</v>
      </c>
      <c r="M20">
        <f t="shared" si="3"/>
        <v>55.379999999999995</v>
      </c>
    </row>
    <row r="21" spans="1:13" x14ac:dyDescent="0.45">
      <c r="A21">
        <v>20</v>
      </c>
      <c r="B21" t="s">
        <v>13</v>
      </c>
      <c r="C21">
        <v>192</v>
      </c>
      <c r="D21">
        <v>43</v>
      </c>
      <c r="E21">
        <v>54</v>
      </c>
      <c r="F21">
        <v>39</v>
      </c>
      <c r="G21" t="s">
        <v>16</v>
      </c>
      <c r="H21" t="s">
        <v>14</v>
      </c>
      <c r="I21" t="s">
        <v>16</v>
      </c>
      <c r="J21">
        <f t="shared" si="0"/>
        <v>47.300000000000004</v>
      </c>
      <c r="K21">
        <f t="shared" si="1"/>
        <v>89.1</v>
      </c>
      <c r="L21">
        <f t="shared" si="2"/>
        <v>26.5</v>
      </c>
      <c r="M21">
        <f t="shared" si="3"/>
        <v>64.06</v>
      </c>
    </row>
    <row r="22" spans="1:13" x14ac:dyDescent="0.45">
      <c r="A22">
        <v>21</v>
      </c>
      <c r="B22" t="s">
        <v>17</v>
      </c>
      <c r="C22">
        <v>196</v>
      </c>
      <c r="D22">
        <v>67</v>
      </c>
      <c r="E22">
        <v>50</v>
      </c>
      <c r="F22">
        <v>28</v>
      </c>
      <c r="G22" t="s">
        <v>14</v>
      </c>
      <c r="H22" t="s">
        <v>16</v>
      </c>
      <c r="I22" t="s">
        <v>14</v>
      </c>
      <c r="J22">
        <f t="shared" si="0"/>
        <v>73.7</v>
      </c>
      <c r="K22">
        <f t="shared" si="1"/>
        <v>85.2</v>
      </c>
      <c r="L22">
        <f t="shared" si="2"/>
        <v>43.5</v>
      </c>
      <c r="M22">
        <f t="shared" si="3"/>
        <v>68.52</v>
      </c>
    </row>
    <row r="23" spans="1:13" x14ac:dyDescent="0.45">
      <c r="A23">
        <v>22</v>
      </c>
      <c r="B23" t="s">
        <v>15</v>
      </c>
      <c r="C23">
        <v>1680</v>
      </c>
      <c r="D23">
        <v>92</v>
      </c>
      <c r="E23">
        <v>21</v>
      </c>
      <c r="F23">
        <v>29</v>
      </c>
      <c r="G23" t="s">
        <v>14</v>
      </c>
      <c r="H23" t="s">
        <v>14</v>
      </c>
      <c r="I23" t="s">
        <v>14</v>
      </c>
      <c r="J23">
        <f t="shared" si="0"/>
        <v>91.08</v>
      </c>
      <c r="K23">
        <f t="shared" si="1"/>
        <v>57.1</v>
      </c>
      <c r="L23">
        <f t="shared" si="2"/>
        <v>61</v>
      </c>
      <c r="M23">
        <f t="shared" si="3"/>
        <v>58.66</v>
      </c>
    </row>
    <row r="24" spans="1:13" x14ac:dyDescent="0.45">
      <c r="A24">
        <v>23</v>
      </c>
      <c r="B24" t="s">
        <v>15</v>
      </c>
      <c r="C24">
        <v>174</v>
      </c>
      <c r="D24">
        <v>50</v>
      </c>
      <c r="E24">
        <v>35</v>
      </c>
      <c r="F24">
        <v>33</v>
      </c>
      <c r="G24" t="s">
        <v>16</v>
      </c>
      <c r="H24" t="s">
        <v>14</v>
      </c>
      <c r="I24" t="s">
        <v>14</v>
      </c>
      <c r="J24">
        <f t="shared" si="0"/>
        <v>49.500000000000007</v>
      </c>
      <c r="K24">
        <f t="shared" si="1"/>
        <v>74.7</v>
      </c>
      <c r="L24">
        <f t="shared" si="2"/>
        <v>30</v>
      </c>
      <c r="M24">
        <f t="shared" si="3"/>
        <v>56.82</v>
      </c>
    </row>
    <row r="25" spans="1:13" x14ac:dyDescent="0.45">
      <c r="A25">
        <v>24</v>
      </c>
      <c r="B25" t="s">
        <v>15</v>
      </c>
      <c r="C25">
        <v>858</v>
      </c>
      <c r="D25">
        <v>73</v>
      </c>
      <c r="E25">
        <v>50</v>
      </c>
      <c r="F25">
        <v>15</v>
      </c>
      <c r="G25" t="s">
        <v>16</v>
      </c>
      <c r="H25" t="s">
        <v>14</v>
      </c>
      <c r="I25" t="s">
        <v>16</v>
      </c>
      <c r="J25">
        <f t="shared" si="0"/>
        <v>72.27000000000001</v>
      </c>
      <c r="K25">
        <f t="shared" si="1"/>
        <v>63.5</v>
      </c>
      <c r="L25">
        <f t="shared" si="2"/>
        <v>41.5</v>
      </c>
      <c r="M25">
        <f t="shared" si="3"/>
        <v>54.7</v>
      </c>
    </row>
    <row r="26" spans="1:13" x14ac:dyDescent="0.45">
      <c r="A26">
        <v>25</v>
      </c>
      <c r="B26" t="s">
        <v>13</v>
      </c>
      <c r="C26">
        <v>1276</v>
      </c>
      <c r="D26">
        <v>66</v>
      </c>
      <c r="E26">
        <v>51</v>
      </c>
      <c r="F26">
        <v>18</v>
      </c>
      <c r="G26" t="s">
        <v>14</v>
      </c>
      <c r="H26" t="s">
        <v>14</v>
      </c>
      <c r="I26" t="s">
        <v>16</v>
      </c>
      <c r="J26">
        <f t="shared" si="0"/>
        <v>72.600000000000009</v>
      </c>
      <c r="K26">
        <f t="shared" si="1"/>
        <v>67.2</v>
      </c>
      <c r="L26">
        <f t="shared" si="2"/>
        <v>48</v>
      </c>
      <c r="M26">
        <f t="shared" si="3"/>
        <v>59.52</v>
      </c>
    </row>
    <row r="27" spans="1:13" x14ac:dyDescent="0.45">
      <c r="A27">
        <v>26</v>
      </c>
      <c r="B27" t="s">
        <v>13</v>
      </c>
      <c r="C27">
        <v>737</v>
      </c>
      <c r="D27">
        <v>47</v>
      </c>
      <c r="E27">
        <v>26</v>
      </c>
      <c r="F27">
        <v>28</v>
      </c>
      <c r="G27" t="s">
        <v>14</v>
      </c>
      <c r="H27" t="s">
        <v>14</v>
      </c>
      <c r="I27" t="s">
        <v>14</v>
      </c>
      <c r="J27">
        <f t="shared" si="0"/>
        <v>51.7</v>
      </c>
      <c r="K27">
        <f t="shared" si="1"/>
        <v>61.2</v>
      </c>
      <c r="L27">
        <f t="shared" si="2"/>
        <v>38.5</v>
      </c>
      <c r="M27">
        <f t="shared" si="3"/>
        <v>52.12</v>
      </c>
    </row>
    <row r="28" spans="1:13" x14ac:dyDescent="0.45">
      <c r="A28">
        <v>27</v>
      </c>
      <c r="B28" t="s">
        <v>13</v>
      </c>
      <c r="C28">
        <v>1205</v>
      </c>
      <c r="D28">
        <v>53</v>
      </c>
      <c r="E28">
        <v>50</v>
      </c>
      <c r="F28">
        <v>20</v>
      </c>
      <c r="G28" t="s">
        <v>14</v>
      </c>
      <c r="H28" t="s">
        <v>14</v>
      </c>
      <c r="I28" t="s">
        <v>14</v>
      </c>
      <c r="J28">
        <f t="shared" si="0"/>
        <v>58.300000000000004</v>
      </c>
      <c r="K28">
        <f t="shared" si="1"/>
        <v>78</v>
      </c>
      <c r="L28">
        <f t="shared" si="2"/>
        <v>41.5</v>
      </c>
      <c r="M28">
        <f t="shared" si="3"/>
        <v>63.4</v>
      </c>
    </row>
    <row r="29" spans="1:13" x14ac:dyDescent="0.45">
      <c r="A29">
        <v>28</v>
      </c>
      <c r="B29" t="s">
        <v>17</v>
      </c>
      <c r="C29">
        <v>282</v>
      </c>
      <c r="D29">
        <v>48</v>
      </c>
      <c r="E29">
        <v>20</v>
      </c>
      <c r="F29">
        <v>24</v>
      </c>
      <c r="G29" t="s">
        <v>14</v>
      </c>
      <c r="H29" t="s">
        <v>16</v>
      </c>
      <c r="I29" t="s">
        <v>14</v>
      </c>
      <c r="J29">
        <f t="shared" si="0"/>
        <v>52.800000000000004</v>
      </c>
      <c r="K29">
        <f t="shared" si="1"/>
        <v>51.6</v>
      </c>
      <c r="L29">
        <f t="shared" si="2"/>
        <v>34</v>
      </c>
      <c r="M29">
        <f t="shared" si="3"/>
        <v>44.56</v>
      </c>
    </row>
    <row r="30" spans="1:13" x14ac:dyDescent="0.45">
      <c r="A30">
        <v>29</v>
      </c>
      <c r="B30" t="s">
        <v>13</v>
      </c>
      <c r="C30">
        <v>340</v>
      </c>
      <c r="D30">
        <v>71</v>
      </c>
      <c r="E30">
        <v>54</v>
      </c>
      <c r="F30">
        <v>18</v>
      </c>
      <c r="G30" t="s">
        <v>14</v>
      </c>
      <c r="H30" t="s">
        <v>16</v>
      </c>
      <c r="I30" t="s">
        <v>16</v>
      </c>
      <c r="J30">
        <f t="shared" si="0"/>
        <v>71</v>
      </c>
      <c r="K30">
        <f t="shared" si="1"/>
        <v>70.2</v>
      </c>
      <c r="L30">
        <f t="shared" si="2"/>
        <v>45.5</v>
      </c>
      <c r="M30">
        <f t="shared" si="3"/>
        <v>60.319999999999993</v>
      </c>
    </row>
    <row r="31" spans="1:13" x14ac:dyDescent="0.45">
      <c r="A31">
        <v>30</v>
      </c>
      <c r="B31" t="s">
        <v>15</v>
      </c>
      <c r="C31">
        <v>497</v>
      </c>
      <c r="D31">
        <v>58</v>
      </c>
      <c r="E31">
        <v>32</v>
      </c>
      <c r="F31">
        <v>39</v>
      </c>
      <c r="G31" t="s">
        <v>14</v>
      </c>
      <c r="H31" t="s">
        <v>16</v>
      </c>
      <c r="I31" t="s">
        <v>16</v>
      </c>
      <c r="J31">
        <f t="shared" si="0"/>
        <v>52.2</v>
      </c>
      <c r="K31">
        <f t="shared" si="1"/>
        <v>67.099999999999994</v>
      </c>
      <c r="L31">
        <f t="shared" si="2"/>
        <v>39</v>
      </c>
      <c r="M31">
        <f t="shared" si="3"/>
        <v>55.86</v>
      </c>
    </row>
    <row r="32" spans="1:13" x14ac:dyDescent="0.45">
      <c r="A32">
        <v>31</v>
      </c>
      <c r="B32" t="s">
        <v>17</v>
      </c>
      <c r="C32">
        <v>1310</v>
      </c>
      <c r="D32">
        <v>62</v>
      </c>
      <c r="E32">
        <v>39</v>
      </c>
      <c r="F32">
        <v>36</v>
      </c>
      <c r="G32" t="s">
        <v>16</v>
      </c>
      <c r="H32" t="s">
        <v>14</v>
      </c>
      <c r="I32" t="s">
        <v>14</v>
      </c>
      <c r="J32">
        <f t="shared" si="0"/>
        <v>75.02000000000001</v>
      </c>
      <c r="K32">
        <f t="shared" si="1"/>
        <v>81.400000000000006</v>
      </c>
      <c r="L32">
        <f t="shared" si="2"/>
        <v>36</v>
      </c>
      <c r="M32">
        <f t="shared" si="3"/>
        <v>63.24</v>
      </c>
    </row>
    <row r="33" spans="1:13" x14ac:dyDescent="0.45">
      <c r="A33">
        <v>32</v>
      </c>
      <c r="B33" t="s">
        <v>15</v>
      </c>
      <c r="C33">
        <v>478</v>
      </c>
      <c r="D33">
        <v>87</v>
      </c>
      <c r="E33">
        <v>58</v>
      </c>
      <c r="F33">
        <v>39</v>
      </c>
      <c r="G33" t="s">
        <v>16</v>
      </c>
      <c r="H33" t="s">
        <v>14</v>
      </c>
      <c r="I33" t="s">
        <v>16</v>
      </c>
      <c r="J33">
        <f t="shared" si="0"/>
        <v>86.13000000000001</v>
      </c>
      <c r="K33">
        <f t="shared" si="1"/>
        <v>93.1</v>
      </c>
      <c r="L33">
        <f t="shared" si="2"/>
        <v>48.5</v>
      </c>
      <c r="M33">
        <f t="shared" si="3"/>
        <v>75.259999999999991</v>
      </c>
    </row>
    <row r="34" spans="1:13" x14ac:dyDescent="0.45">
      <c r="A34">
        <v>33</v>
      </c>
      <c r="B34" t="s">
        <v>13</v>
      </c>
      <c r="C34">
        <v>1979</v>
      </c>
      <c r="D34">
        <v>44</v>
      </c>
      <c r="E34">
        <v>60</v>
      </c>
      <c r="F34">
        <v>37</v>
      </c>
      <c r="G34" t="s">
        <v>14</v>
      </c>
      <c r="H34" t="s">
        <v>16</v>
      </c>
      <c r="I34" t="s">
        <v>14</v>
      </c>
      <c r="J34">
        <f t="shared" si="0"/>
        <v>44</v>
      </c>
      <c r="K34">
        <f t="shared" si="1"/>
        <v>100</v>
      </c>
      <c r="L34">
        <f t="shared" si="2"/>
        <v>32</v>
      </c>
      <c r="M34">
        <f t="shared" si="3"/>
        <v>72.8</v>
      </c>
    </row>
    <row r="35" spans="1:13" x14ac:dyDescent="0.45">
      <c r="A35">
        <v>34</v>
      </c>
      <c r="B35" t="s">
        <v>17</v>
      </c>
      <c r="C35">
        <v>1941</v>
      </c>
      <c r="D35">
        <v>47</v>
      </c>
      <c r="E35">
        <v>25</v>
      </c>
      <c r="F35">
        <v>32</v>
      </c>
      <c r="G35" t="s">
        <v>14</v>
      </c>
      <c r="H35" t="s">
        <v>14</v>
      </c>
      <c r="I35" t="s">
        <v>14</v>
      </c>
      <c r="J35">
        <f t="shared" si="0"/>
        <v>56.870000000000005</v>
      </c>
      <c r="K35">
        <f t="shared" si="1"/>
        <v>63.8</v>
      </c>
      <c r="L35">
        <f t="shared" si="2"/>
        <v>38.5</v>
      </c>
      <c r="M35">
        <f t="shared" si="3"/>
        <v>53.679999999999993</v>
      </c>
    </row>
    <row r="36" spans="1:13" x14ac:dyDescent="0.45">
      <c r="A36">
        <v>35</v>
      </c>
      <c r="B36" t="s">
        <v>13</v>
      </c>
      <c r="C36">
        <v>1815</v>
      </c>
      <c r="D36">
        <v>77</v>
      </c>
      <c r="E36">
        <v>39</v>
      </c>
      <c r="F36">
        <v>29</v>
      </c>
      <c r="G36" t="s">
        <v>14</v>
      </c>
      <c r="H36" t="s">
        <v>14</v>
      </c>
      <c r="I36" t="s">
        <v>16</v>
      </c>
      <c r="J36">
        <f t="shared" si="0"/>
        <v>84.7</v>
      </c>
      <c r="K36">
        <f t="shared" si="1"/>
        <v>65.099999999999994</v>
      </c>
      <c r="L36">
        <f t="shared" si="2"/>
        <v>53.5</v>
      </c>
      <c r="M36">
        <f t="shared" si="3"/>
        <v>60.459999999999994</v>
      </c>
    </row>
    <row r="37" spans="1:13" x14ac:dyDescent="0.45">
      <c r="A37">
        <v>36</v>
      </c>
      <c r="B37" t="s">
        <v>15</v>
      </c>
      <c r="C37">
        <v>803</v>
      </c>
      <c r="D37">
        <v>90</v>
      </c>
      <c r="E37">
        <v>24</v>
      </c>
      <c r="F37">
        <v>28</v>
      </c>
      <c r="G37" t="s">
        <v>16</v>
      </c>
      <c r="H37" t="s">
        <v>16</v>
      </c>
      <c r="I37" t="s">
        <v>14</v>
      </c>
      <c r="J37">
        <f t="shared" si="0"/>
        <v>81</v>
      </c>
      <c r="K37">
        <f t="shared" si="1"/>
        <v>59.2</v>
      </c>
      <c r="L37">
        <f t="shared" si="2"/>
        <v>45</v>
      </c>
      <c r="M37">
        <f t="shared" si="3"/>
        <v>53.52</v>
      </c>
    </row>
    <row r="38" spans="1:13" x14ac:dyDescent="0.45">
      <c r="A38">
        <v>37</v>
      </c>
      <c r="B38" t="s">
        <v>15</v>
      </c>
      <c r="C38">
        <v>275</v>
      </c>
      <c r="D38">
        <v>81</v>
      </c>
      <c r="E38">
        <v>28</v>
      </c>
      <c r="F38">
        <v>19</v>
      </c>
      <c r="G38" t="s">
        <v>14</v>
      </c>
      <c r="H38" t="s">
        <v>14</v>
      </c>
      <c r="I38" t="s">
        <v>16</v>
      </c>
      <c r="J38">
        <f t="shared" si="0"/>
        <v>80.190000000000012</v>
      </c>
      <c r="K38">
        <f t="shared" si="1"/>
        <v>45.1</v>
      </c>
      <c r="L38">
        <f t="shared" si="2"/>
        <v>55.5</v>
      </c>
      <c r="M38">
        <f t="shared" si="3"/>
        <v>49.260000000000005</v>
      </c>
    </row>
    <row r="39" spans="1:13" x14ac:dyDescent="0.45">
      <c r="A39">
        <v>38</v>
      </c>
      <c r="B39" t="s">
        <v>17</v>
      </c>
      <c r="C39">
        <v>1186</v>
      </c>
      <c r="D39">
        <v>85</v>
      </c>
      <c r="E39">
        <v>28</v>
      </c>
      <c r="F39">
        <v>40</v>
      </c>
      <c r="G39" t="s">
        <v>16</v>
      </c>
      <c r="H39" t="s">
        <v>14</v>
      </c>
      <c r="I39" t="s">
        <v>14</v>
      </c>
      <c r="J39">
        <f t="shared" si="0"/>
        <v>102.85000000000002</v>
      </c>
      <c r="K39">
        <f t="shared" si="1"/>
        <v>74</v>
      </c>
      <c r="L39">
        <f t="shared" si="2"/>
        <v>47.5</v>
      </c>
      <c r="M39">
        <f t="shared" si="3"/>
        <v>63.4</v>
      </c>
    </row>
    <row r="40" spans="1:13" x14ac:dyDescent="0.45">
      <c r="A40">
        <v>39</v>
      </c>
      <c r="B40" t="s">
        <v>17</v>
      </c>
      <c r="C40">
        <v>1601</v>
      </c>
      <c r="D40">
        <v>93</v>
      </c>
      <c r="E40">
        <v>39</v>
      </c>
      <c r="F40">
        <v>33</v>
      </c>
      <c r="G40" t="s">
        <v>16</v>
      </c>
      <c r="H40" t="s">
        <v>14</v>
      </c>
      <c r="I40" t="s">
        <v>14</v>
      </c>
      <c r="J40">
        <f t="shared" si="0"/>
        <v>112.53000000000002</v>
      </c>
      <c r="K40">
        <f t="shared" si="1"/>
        <v>78.7</v>
      </c>
      <c r="L40">
        <f t="shared" si="2"/>
        <v>51.5</v>
      </c>
      <c r="M40">
        <f t="shared" si="3"/>
        <v>67.819999999999993</v>
      </c>
    </row>
    <row r="41" spans="1:13" x14ac:dyDescent="0.45">
      <c r="A41">
        <v>40</v>
      </c>
      <c r="B41" t="s">
        <v>15</v>
      </c>
      <c r="C41">
        <v>1250</v>
      </c>
      <c r="D41">
        <v>66</v>
      </c>
      <c r="E41">
        <v>39</v>
      </c>
      <c r="F41">
        <v>30</v>
      </c>
      <c r="G41" t="s">
        <v>14</v>
      </c>
      <c r="H41" t="s">
        <v>14</v>
      </c>
      <c r="I41" t="s">
        <v>14</v>
      </c>
      <c r="J41">
        <f t="shared" si="0"/>
        <v>65.34</v>
      </c>
      <c r="K41">
        <f t="shared" si="1"/>
        <v>76</v>
      </c>
      <c r="L41">
        <f t="shared" si="2"/>
        <v>48</v>
      </c>
      <c r="M41">
        <f t="shared" si="3"/>
        <v>64.800000000000011</v>
      </c>
    </row>
    <row r="42" spans="1:13" x14ac:dyDescent="0.45">
      <c r="A42">
        <v>41</v>
      </c>
      <c r="B42" t="s">
        <v>13</v>
      </c>
      <c r="C42">
        <v>544</v>
      </c>
      <c r="D42">
        <v>65</v>
      </c>
      <c r="E42">
        <v>45</v>
      </c>
      <c r="F42">
        <v>30</v>
      </c>
      <c r="G42" t="s">
        <v>14</v>
      </c>
      <c r="H42" t="s">
        <v>16</v>
      </c>
      <c r="I42" t="s">
        <v>14</v>
      </c>
      <c r="J42">
        <f t="shared" si="0"/>
        <v>65</v>
      </c>
      <c r="K42">
        <f t="shared" si="1"/>
        <v>82</v>
      </c>
      <c r="L42">
        <f t="shared" si="2"/>
        <v>42.5</v>
      </c>
      <c r="M42">
        <f t="shared" si="3"/>
        <v>66.199999999999989</v>
      </c>
    </row>
    <row r="43" spans="1:13" x14ac:dyDescent="0.45">
      <c r="A43">
        <v>42</v>
      </c>
      <c r="B43" t="s">
        <v>15</v>
      </c>
      <c r="C43">
        <v>529</v>
      </c>
      <c r="D43">
        <v>75</v>
      </c>
      <c r="E43">
        <v>24</v>
      </c>
      <c r="F43">
        <v>33</v>
      </c>
      <c r="G43" t="s">
        <v>14</v>
      </c>
      <c r="H43" t="s">
        <v>16</v>
      </c>
      <c r="I43" t="s">
        <v>16</v>
      </c>
      <c r="J43">
        <f t="shared" si="0"/>
        <v>67.5</v>
      </c>
      <c r="K43">
        <f t="shared" si="1"/>
        <v>53.7</v>
      </c>
      <c r="L43">
        <f t="shared" si="2"/>
        <v>47.5</v>
      </c>
      <c r="M43">
        <f t="shared" si="3"/>
        <v>51.22</v>
      </c>
    </row>
    <row r="44" spans="1:13" x14ac:dyDescent="0.45">
      <c r="A44">
        <v>43</v>
      </c>
      <c r="B44" t="s">
        <v>15</v>
      </c>
      <c r="C44">
        <v>346</v>
      </c>
      <c r="D44">
        <v>78</v>
      </c>
      <c r="E44">
        <v>53</v>
      </c>
      <c r="F44">
        <v>40</v>
      </c>
      <c r="G44" t="s">
        <v>14</v>
      </c>
      <c r="H44" t="s">
        <v>16</v>
      </c>
      <c r="I44" t="s">
        <v>14</v>
      </c>
      <c r="J44">
        <f t="shared" si="0"/>
        <v>70.2</v>
      </c>
      <c r="K44">
        <f t="shared" si="1"/>
        <v>99</v>
      </c>
      <c r="L44">
        <f t="shared" si="2"/>
        <v>49</v>
      </c>
      <c r="M44">
        <f t="shared" si="3"/>
        <v>79</v>
      </c>
    </row>
    <row r="45" spans="1:13" x14ac:dyDescent="0.45">
      <c r="A45">
        <v>44</v>
      </c>
      <c r="B45" t="s">
        <v>13</v>
      </c>
      <c r="C45">
        <v>1902</v>
      </c>
      <c r="D45">
        <v>88</v>
      </c>
      <c r="E45">
        <v>31</v>
      </c>
      <c r="F45">
        <v>19</v>
      </c>
      <c r="G45" t="s">
        <v>16</v>
      </c>
      <c r="H45" t="s">
        <v>14</v>
      </c>
      <c r="I45" t="s">
        <v>14</v>
      </c>
      <c r="J45">
        <f t="shared" si="0"/>
        <v>96.800000000000011</v>
      </c>
      <c r="K45">
        <f t="shared" si="1"/>
        <v>58.1</v>
      </c>
      <c r="L45">
        <f t="shared" si="2"/>
        <v>49</v>
      </c>
      <c r="M45">
        <f t="shared" si="3"/>
        <v>54.46</v>
      </c>
    </row>
    <row r="46" spans="1:13" x14ac:dyDescent="0.45">
      <c r="A46">
        <v>45</v>
      </c>
      <c r="B46" t="s">
        <v>15</v>
      </c>
      <c r="C46">
        <v>452</v>
      </c>
      <c r="D46">
        <v>94</v>
      </c>
      <c r="E46">
        <v>27</v>
      </c>
      <c r="F46">
        <v>40</v>
      </c>
      <c r="G46" t="s">
        <v>16</v>
      </c>
      <c r="H46" t="s">
        <v>14</v>
      </c>
      <c r="I46" t="s">
        <v>16</v>
      </c>
      <c r="J46">
        <f t="shared" si="0"/>
        <v>93.060000000000016</v>
      </c>
      <c r="K46">
        <f t="shared" si="1"/>
        <v>63</v>
      </c>
      <c r="L46">
        <f t="shared" si="2"/>
        <v>52</v>
      </c>
      <c r="M46">
        <f t="shared" si="3"/>
        <v>58.599999999999994</v>
      </c>
    </row>
    <row r="47" spans="1:13" x14ac:dyDescent="0.45">
      <c r="A47">
        <v>46</v>
      </c>
      <c r="B47" t="s">
        <v>13</v>
      </c>
      <c r="C47">
        <v>1849</v>
      </c>
      <c r="D47">
        <v>77</v>
      </c>
      <c r="E47">
        <v>30</v>
      </c>
      <c r="F47">
        <v>29</v>
      </c>
      <c r="G47" t="s">
        <v>16</v>
      </c>
      <c r="H47" t="s">
        <v>16</v>
      </c>
      <c r="I47" t="s">
        <v>16</v>
      </c>
      <c r="J47">
        <f t="shared" si="0"/>
        <v>77</v>
      </c>
      <c r="K47">
        <f t="shared" si="1"/>
        <v>56.1</v>
      </c>
      <c r="L47">
        <f t="shared" si="2"/>
        <v>38.5</v>
      </c>
      <c r="M47">
        <f t="shared" si="3"/>
        <v>49.059999999999995</v>
      </c>
    </row>
    <row r="48" spans="1:13" x14ac:dyDescent="0.45">
      <c r="A48">
        <v>47</v>
      </c>
      <c r="B48" t="s">
        <v>13</v>
      </c>
      <c r="C48">
        <v>971</v>
      </c>
      <c r="D48">
        <v>40</v>
      </c>
      <c r="E48">
        <v>50</v>
      </c>
      <c r="F48">
        <v>23</v>
      </c>
      <c r="G48" t="s">
        <v>16</v>
      </c>
      <c r="H48" t="s">
        <v>14</v>
      </c>
      <c r="I48" t="s">
        <v>16</v>
      </c>
      <c r="J48">
        <f t="shared" si="0"/>
        <v>44</v>
      </c>
      <c r="K48">
        <f t="shared" si="1"/>
        <v>70.7</v>
      </c>
      <c r="L48">
        <f t="shared" si="2"/>
        <v>25</v>
      </c>
      <c r="M48">
        <f t="shared" si="3"/>
        <v>52.42</v>
      </c>
    </row>
    <row r="49" spans="1:13" x14ac:dyDescent="0.45">
      <c r="A49">
        <v>48</v>
      </c>
      <c r="B49" t="s">
        <v>15</v>
      </c>
      <c r="C49">
        <v>696</v>
      </c>
      <c r="D49">
        <v>56</v>
      </c>
      <c r="E49">
        <v>51</v>
      </c>
      <c r="F49">
        <v>16</v>
      </c>
      <c r="G49" t="s">
        <v>16</v>
      </c>
      <c r="H49" t="s">
        <v>16</v>
      </c>
      <c r="I49" t="s">
        <v>16</v>
      </c>
      <c r="J49">
        <f t="shared" si="0"/>
        <v>50.4</v>
      </c>
      <c r="K49">
        <f t="shared" si="1"/>
        <v>65.400000000000006</v>
      </c>
      <c r="L49">
        <f t="shared" si="2"/>
        <v>28</v>
      </c>
      <c r="M49">
        <f t="shared" si="3"/>
        <v>50.440000000000005</v>
      </c>
    </row>
    <row r="50" spans="1:13" x14ac:dyDescent="0.45">
      <c r="A50">
        <v>49</v>
      </c>
      <c r="B50" t="s">
        <v>13</v>
      </c>
      <c r="C50">
        <v>1588</v>
      </c>
      <c r="D50">
        <v>79</v>
      </c>
      <c r="E50">
        <v>58</v>
      </c>
      <c r="F50">
        <v>30</v>
      </c>
      <c r="G50" t="s">
        <v>14</v>
      </c>
      <c r="H50" t="s">
        <v>14</v>
      </c>
      <c r="I50" t="s">
        <v>16</v>
      </c>
      <c r="J50">
        <f t="shared" si="0"/>
        <v>86.9</v>
      </c>
      <c r="K50">
        <f t="shared" si="1"/>
        <v>85</v>
      </c>
      <c r="L50">
        <f t="shared" si="2"/>
        <v>54.5</v>
      </c>
      <c r="M50">
        <f t="shared" si="3"/>
        <v>72.8</v>
      </c>
    </row>
    <row r="51" spans="1:13" x14ac:dyDescent="0.45">
      <c r="A51">
        <v>50</v>
      </c>
      <c r="B51" t="s">
        <v>17</v>
      </c>
      <c r="C51">
        <v>1774</v>
      </c>
      <c r="D51">
        <v>72</v>
      </c>
      <c r="E51">
        <v>28</v>
      </c>
      <c r="F51">
        <v>18</v>
      </c>
      <c r="G51" t="s">
        <v>14</v>
      </c>
      <c r="H51" t="s">
        <v>16</v>
      </c>
      <c r="I51" t="s">
        <v>16</v>
      </c>
      <c r="J51">
        <f t="shared" si="0"/>
        <v>79.2</v>
      </c>
      <c r="K51">
        <f t="shared" si="1"/>
        <v>44.2</v>
      </c>
      <c r="L51">
        <f t="shared" si="2"/>
        <v>46</v>
      </c>
      <c r="M51">
        <f t="shared" si="3"/>
        <v>44.92</v>
      </c>
    </row>
    <row r="52" spans="1:13" x14ac:dyDescent="0.45">
      <c r="A52">
        <v>51</v>
      </c>
      <c r="B52" t="s">
        <v>17</v>
      </c>
      <c r="C52">
        <v>753</v>
      </c>
      <c r="D52">
        <v>86</v>
      </c>
      <c r="E52">
        <v>47</v>
      </c>
      <c r="F52">
        <v>26</v>
      </c>
      <c r="G52" t="s">
        <v>16</v>
      </c>
      <c r="H52" t="s">
        <v>14</v>
      </c>
      <c r="I52" t="s">
        <v>16</v>
      </c>
      <c r="J52">
        <f t="shared" si="0"/>
        <v>104.06000000000002</v>
      </c>
      <c r="K52">
        <f t="shared" si="1"/>
        <v>70.400000000000006</v>
      </c>
      <c r="L52">
        <f t="shared" si="2"/>
        <v>48</v>
      </c>
      <c r="M52">
        <f t="shared" si="3"/>
        <v>61.440000000000005</v>
      </c>
    </row>
    <row r="53" spans="1:13" x14ac:dyDescent="0.45">
      <c r="A53">
        <v>52</v>
      </c>
      <c r="B53" t="s">
        <v>13</v>
      </c>
      <c r="C53">
        <v>1078</v>
      </c>
      <c r="D53">
        <v>75</v>
      </c>
      <c r="E53">
        <v>57</v>
      </c>
      <c r="F53">
        <v>33</v>
      </c>
      <c r="G53" t="s">
        <v>16</v>
      </c>
      <c r="H53" t="s">
        <v>14</v>
      </c>
      <c r="I53" t="s">
        <v>16</v>
      </c>
      <c r="J53">
        <f t="shared" si="0"/>
        <v>82.5</v>
      </c>
      <c r="K53">
        <f t="shared" si="1"/>
        <v>86.7</v>
      </c>
      <c r="L53">
        <f t="shared" si="2"/>
        <v>42.5</v>
      </c>
      <c r="M53">
        <f t="shared" si="3"/>
        <v>69.02000000000001</v>
      </c>
    </row>
    <row r="54" spans="1:13" x14ac:dyDescent="0.45">
      <c r="A54">
        <v>53</v>
      </c>
      <c r="B54" t="s">
        <v>17</v>
      </c>
      <c r="C54">
        <v>378</v>
      </c>
      <c r="D54">
        <v>65</v>
      </c>
      <c r="E54">
        <v>45</v>
      </c>
      <c r="F54">
        <v>20</v>
      </c>
      <c r="G54" t="s">
        <v>14</v>
      </c>
      <c r="H54" t="s">
        <v>16</v>
      </c>
      <c r="I54" t="s">
        <v>14</v>
      </c>
      <c r="J54">
        <f t="shared" si="0"/>
        <v>71.5</v>
      </c>
      <c r="K54">
        <f t="shared" si="1"/>
        <v>73</v>
      </c>
      <c r="L54">
        <f t="shared" si="2"/>
        <v>42.5</v>
      </c>
      <c r="M54">
        <f t="shared" si="3"/>
        <v>60.8</v>
      </c>
    </row>
    <row r="55" spans="1:13" x14ac:dyDescent="0.45">
      <c r="A55">
        <v>54</v>
      </c>
      <c r="B55" t="s">
        <v>15</v>
      </c>
      <c r="C55">
        <v>692</v>
      </c>
      <c r="D55">
        <v>46</v>
      </c>
      <c r="E55">
        <v>45</v>
      </c>
      <c r="F55">
        <v>27</v>
      </c>
      <c r="G55" t="s">
        <v>16</v>
      </c>
      <c r="H55" t="s">
        <v>14</v>
      </c>
      <c r="I55" t="s">
        <v>16</v>
      </c>
      <c r="J55">
        <f t="shared" si="0"/>
        <v>45.54</v>
      </c>
      <c r="K55">
        <f t="shared" si="1"/>
        <v>69.3</v>
      </c>
      <c r="L55">
        <f t="shared" si="2"/>
        <v>28</v>
      </c>
      <c r="M55">
        <f t="shared" si="3"/>
        <v>52.78</v>
      </c>
    </row>
    <row r="56" spans="1:13" x14ac:dyDescent="0.45">
      <c r="A56">
        <v>55</v>
      </c>
      <c r="B56" t="s">
        <v>13</v>
      </c>
      <c r="C56">
        <v>1074</v>
      </c>
      <c r="D56">
        <v>47</v>
      </c>
      <c r="E56">
        <v>51</v>
      </c>
      <c r="F56">
        <v>27</v>
      </c>
      <c r="G56" t="s">
        <v>16</v>
      </c>
      <c r="H56" t="s">
        <v>14</v>
      </c>
      <c r="I56" t="s">
        <v>16</v>
      </c>
      <c r="J56">
        <f t="shared" si="0"/>
        <v>51.7</v>
      </c>
      <c r="K56">
        <f t="shared" si="1"/>
        <v>75.3</v>
      </c>
      <c r="L56">
        <f t="shared" si="2"/>
        <v>28.5</v>
      </c>
      <c r="M56">
        <f t="shared" si="3"/>
        <v>56.58</v>
      </c>
    </row>
    <row r="57" spans="1:13" x14ac:dyDescent="0.45">
      <c r="A57">
        <v>56</v>
      </c>
      <c r="B57" t="s">
        <v>13</v>
      </c>
      <c r="C57">
        <v>579</v>
      </c>
      <c r="D57">
        <v>78</v>
      </c>
      <c r="E57">
        <v>53</v>
      </c>
      <c r="F57">
        <v>18</v>
      </c>
      <c r="G57" t="s">
        <v>16</v>
      </c>
      <c r="H57" t="s">
        <v>14</v>
      </c>
      <c r="I57" t="s">
        <v>14</v>
      </c>
      <c r="J57">
        <f t="shared" si="0"/>
        <v>85.800000000000011</v>
      </c>
      <c r="K57">
        <f t="shared" si="1"/>
        <v>79.2</v>
      </c>
      <c r="L57">
        <f t="shared" si="2"/>
        <v>44</v>
      </c>
      <c r="M57">
        <f t="shared" si="3"/>
        <v>65.12</v>
      </c>
    </row>
    <row r="58" spans="1:13" x14ac:dyDescent="0.45">
      <c r="A58">
        <v>57</v>
      </c>
      <c r="B58" t="s">
        <v>13</v>
      </c>
      <c r="C58">
        <v>1498</v>
      </c>
      <c r="D58">
        <v>62</v>
      </c>
      <c r="E58">
        <v>30</v>
      </c>
      <c r="F58">
        <v>35</v>
      </c>
      <c r="G58" t="s">
        <v>14</v>
      </c>
      <c r="H58" t="s">
        <v>14</v>
      </c>
      <c r="I58" t="s">
        <v>14</v>
      </c>
      <c r="J58">
        <f t="shared" si="0"/>
        <v>68.2</v>
      </c>
      <c r="K58">
        <f t="shared" si="1"/>
        <v>71.5</v>
      </c>
      <c r="L58">
        <f t="shared" si="2"/>
        <v>46</v>
      </c>
      <c r="M58">
        <f t="shared" si="3"/>
        <v>61.3</v>
      </c>
    </row>
    <row r="59" spans="1:13" x14ac:dyDescent="0.45">
      <c r="A59">
        <v>58</v>
      </c>
      <c r="B59" t="s">
        <v>15</v>
      </c>
      <c r="C59">
        <v>1439</v>
      </c>
      <c r="D59">
        <v>77</v>
      </c>
      <c r="E59">
        <v>54</v>
      </c>
      <c r="F59">
        <v>38</v>
      </c>
      <c r="G59" t="s">
        <v>16</v>
      </c>
      <c r="H59" t="s">
        <v>16</v>
      </c>
      <c r="I59" t="s">
        <v>16</v>
      </c>
      <c r="J59">
        <f t="shared" si="0"/>
        <v>69.3</v>
      </c>
      <c r="K59">
        <f t="shared" si="1"/>
        <v>88.2</v>
      </c>
      <c r="L59">
        <f t="shared" si="2"/>
        <v>38.5</v>
      </c>
      <c r="M59">
        <f t="shared" si="3"/>
        <v>68.320000000000007</v>
      </c>
    </row>
    <row r="60" spans="1:13" x14ac:dyDescent="0.45">
      <c r="A60">
        <v>59</v>
      </c>
      <c r="B60" t="s">
        <v>15</v>
      </c>
      <c r="C60">
        <v>680</v>
      </c>
      <c r="D60">
        <v>91</v>
      </c>
      <c r="E60">
        <v>43</v>
      </c>
      <c r="F60">
        <v>23</v>
      </c>
      <c r="G60" t="s">
        <v>14</v>
      </c>
      <c r="H60" t="s">
        <v>14</v>
      </c>
      <c r="I60" t="s">
        <v>14</v>
      </c>
      <c r="J60">
        <f t="shared" si="0"/>
        <v>90.090000000000018</v>
      </c>
      <c r="K60">
        <f t="shared" si="1"/>
        <v>73.7</v>
      </c>
      <c r="L60">
        <f t="shared" si="2"/>
        <v>60.5</v>
      </c>
      <c r="M60">
        <f t="shared" si="3"/>
        <v>68.42</v>
      </c>
    </row>
    <row r="61" spans="1:13" x14ac:dyDescent="0.45">
      <c r="A61">
        <v>60</v>
      </c>
      <c r="B61" t="s">
        <v>15</v>
      </c>
      <c r="C61">
        <v>329</v>
      </c>
      <c r="D61">
        <v>95</v>
      </c>
      <c r="E61">
        <v>42</v>
      </c>
      <c r="F61">
        <v>24</v>
      </c>
      <c r="G61" t="s">
        <v>14</v>
      </c>
      <c r="H61" t="s">
        <v>16</v>
      </c>
      <c r="I61" t="s">
        <v>14</v>
      </c>
      <c r="J61">
        <f t="shared" si="0"/>
        <v>85.5</v>
      </c>
      <c r="K61">
        <f t="shared" si="1"/>
        <v>73.599999999999994</v>
      </c>
      <c r="L61">
        <f t="shared" si="2"/>
        <v>57.5</v>
      </c>
      <c r="M61">
        <f t="shared" si="3"/>
        <v>67.16</v>
      </c>
    </row>
    <row r="62" spans="1:13" x14ac:dyDescent="0.45">
      <c r="A62">
        <v>61</v>
      </c>
      <c r="B62" t="s">
        <v>17</v>
      </c>
      <c r="C62">
        <v>1853</v>
      </c>
      <c r="D62">
        <v>65</v>
      </c>
      <c r="E62">
        <v>37</v>
      </c>
      <c r="F62">
        <v>19</v>
      </c>
      <c r="G62" t="s">
        <v>16</v>
      </c>
      <c r="H62" t="s">
        <v>14</v>
      </c>
      <c r="I62" t="s">
        <v>14</v>
      </c>
      <c r="J62">
        <f t="shared" si="0"/>
        <v>78.650000000000006</v>
      </c>
      <c r="K62">
        <f t="shared" si="1"/>
        <v>64.099999999999994</v>
      </c>
      <c r="L62">
        <f t="shared" si="2"/>
        <v>37.5</v>
      </c>
      <c r="M62">
        <f t="shared" si="3"/>
        <v>53.459999999999994</v>
      </c>
    </row>
    <row r="63" spans="1:13" x14ac:dyDescent="0.45">
      <c r="A63">
        <v>62</v>
      </c>
      <c r="B63" t="s">
        <v>17</v>
      </c>
      <c r="C63">
        <v>784</v>
      </c>
      <c r="D63">
        <v>78</v>
      </c>
      <c r="E63">
        <v>52</v>
      </c>
      <c r="F63">
        <v>31</v>
      </c>
      <c r="G63" t="s">
        <v>14</v>
      </c>
      <c r="H63" t="s">
        <v>14</v>
      </c>
      <c r="I63" t="s">
        <v>14</v>
      </c>
      <c r="J63">
        <f t="shared" si="0"/>
        <v>94.380000000000024</v>
      </c>
      <c r="K63">
        <f t="shared" si="1"/>
        <v>89.9</v>
      </c>
      <c r="L63">
        <f t="shared" si="2"/>
        <v>54</v>
      </c>
      <c r="M63">
        <f t="shared" si="3"/>
        <v>75.540000000000006</v>
      </c>
    </row>
    <row r="64" spans="1:13" x14ac:dyDescent="0.45">
      <c r="A64">
        <v>63</v>
      </c>
      <c r="B64" t="s">
        <v>17</v>
      </c>
      <c r="C64">
        <v>1465</v>
      </c>
      <c r="D64">
        <v>51</v>
      </c>
      <c r="E64">
        <v>60</v>
      </c>
      <c r="F64">
        <v>33</v>
      </c>
      <c r="G64" t="s">
        <v>16</v>
      </c>
      <c r="H64" t="s">
        <v>14</v>
      </c>
      <c r="I64" t="s">
        <v>14</v>
      </c>
      <c r="J64">
        <f t="shared" si="0"/>
        <v>61.710000000000008</v>
      </c>
      <c r="K64">
        <f t="shared" si="1"/>
        <v>99.7</v>
      </c>
      <c r="L64">
        <f t="shared" si="2"/>
        <v>30.5</v>
      </c>
      <c r="M64">
        <f t="shared" si="3"/>
        <v>72.02</v>
      </c>
    </row>
    <row r="65" spans="1:13" x14ac:dyDescent="0.45">
      <c r="A65">
        <v>64</v>
      </c>
      <c r="B65" t="s">
        <v>17</v>
      </c>
      <c r="C65">
        <v>315</v>
      </c>
      <c r="D65">
        <v>61</v>
      </c>
      <c r="E65">
        <v>52</v>
      </c>
      <c r="F65">
        <v>23</v>
      </c>
      <c r="G65" t="s">
        <v>14</v>
      </c>
      <c r="H65" t="s">
        <v>16</v>
      </c>
      <c r="I65" t="s">
        <v>16</v>
      </c>
      <c r="J65">
        <f t="shared" si="0"/>
        <v>67.100000000000009</v>
      </c>
      <c r="K65">
        <f t="shared" si="1"/>
        <v>72.7</v>
      </c>
      <c r="L65">
        <f t="shared" si="2"/>
        <v>40.5</v>
      </c>
      <c r="M65">
        <f t="shared" si="3"/>
        <v>59.819999999999993</v>
      </c>
    </row>
    <row r="66" spans="1:13" x14ac:dyDescent="0.45">
      <c r="A66">
        <v>65</v>
      </c>
      <c r="B66" t="s">
        <v>17</v>
      </c>
      <c r="C66">
        <v>504</v>
      </c>
      <c r="D66">
        <v>86</v>
      </c>
      <c r="E66">
        <v>34</v>
      </c>
      <c r="F66">
        <v>30</v>
      </c>
      <c r="G66" t="s">
        <v>16</v>
      </c>
      <c r="H66" t="s">
        <v>14</v>
      </c>
      <c r="I66" t="s">
        <v>16</v>
      </c>
      <c r="J66">
        <f t="shared" ref="J66:J129" si="4">D66*(IF(B66="Residential",0.9,IF(B66="Commercial",1,IF(B66="Infrastructure",1.1,1))))*(IF(H66="Yes",1.1,1))</f>
        <v>104.06000000000002</v>
      </c>
      <c r="K66">
        <f t="shared" ref="K66:K129" si="5">MIN((((E66*100)+(F66*90))/100)+IF(I66="Yes",10,0),100)</f>
        <v>61</v>
      </c>
      <c r="L66">
        <f t="shared" ref="L66:L129" si="6">MIN((D66*0.5)+IF(G66="Yes",10,0)+IF(H66="Yes",5,0),100)</f>
        <v>48</v>
      </c>
      <c r="M66">
        <f t="shared" ref="M66:M129" si="7">MIN((K66*0.6)+(L66*0.4),100)</f>
        <v>55.800000000000004</v>
      </c>
    </row>
    <row r="67" spans="1:13" x14ac:dyDescent="0.45">
      <c r="A67">
        <v>66</v>
      </c>
      <c r="B67" t="s">
        <v>13</v>
      </c>
      <c r="C67">
        <v>437</v>
      </c>
      <c r="D67">
        <v>78</v>
      </c>
      <c r="E67">
        <v>28</v>
      </c>
      <c r="F67">
        <v>39</v>
      </c>
      <c r="G67" t="s">
        <v>16</v>
      </c>
      <c r="H67" t="s">
        <v>16</v>
      </c>
      <c r="I67" t="s">
        <v>16</v>
      </c>
      <c r="J67">
        <f t="shared" si="4"/>
        <v>78</v>
      </c>
      <c r="K67">
        <f t="shared" si="5"/>
        <v>63.1</v>
      </c>
      <c r="L67">
        <f t="shared" si="6"/>
        <v>39</v>
      </c>
      <c r="M67">
        <f t="shared" si="7"/>
        <v>53.46</v>
      </c>
    </row>
    <row r="68" spans="1:13" x14ac:dyDescent="0.45">
      <c r="A68">
        <v>67</v>
      </c>
      <c r="B68" t="s">
        <v>15</v>
      </c>
      <c r="C68">
        <v>621</v>
      </c>
      <c r="D68">
        <v>78</v>
      </c>
      <c r="E68">
        <v>46</v>
      </c>
      <c r="F68">
        <v>27</v>
      </c>
      <c r="G68" t="s">
        <v>16</v>
      </c>
      <c r="H68" t="s">
        <v>14</v>
      </c>
      <c r="I68" t="s">
        <v>16</v>
      </c>
      <c r="J68">
        <f t="shared" si="4"/>
        <v>77.220000000000013</v>
      </c>
      <c r="K68">
        <f t="shared" si="5"/>
        <v>70.3</v>
      </c>
      <c r="L68">
        <f t="shared" si="6"/>
        <v>44</v>
      </c>
      <c r="M68">
        <f t="shared" si="7"/>
        <v>59.78</v>
      </c>
    </row>
    <row r="69" spans="1:13" x14ac:dyDescent="0.45">
      <c r="A69">
        <v>68</v>
      </c>
      <c r="B69" t="s">
        <v>13</v>
      </c>
      <c r="C69">
        <v>1000</v>
      </c>
      <c r="D69">
        <v>64</v>
      </c>
      <c r="E69">
        <v>53</v>
      </c>
      <c r="F69">
        <v>34</v>
      </c>
      <c r="G69" t="s">
        <v>14</v>
      </c>
      <c r="H69" t="s">
        <v>16</v>
      </c>
      <c r="I69" t="s">
        <v>16</v>
      </c>
      <c r="J69">
        <f t="shared" si="4"/>
        <v>64</v>
      </c>
      <c r="K69">
        <f t="shared" si="5"/>
        <v>83.6</v>
      </c>
      <c r="L69">
        <f t="shared" si="6"/>
        <v>42</v>
      </c>
      <c r="M69">
        <f t="shared" si="7"/>
        <v>66.959999999999994</v>
      </c>
    </row>
    <row r="70" spans="1:13" x14ac:dyDescent="0.45">
      <c r="A70">
        <v>69</v>
      </c>
      <c r="B70" t="s">
        <v>13</v>
      </c>
      <c r="C70">
        <v>1362</v>
      </c>
      <c r="D70">
        <v>53</v>
      </c>
      <c r="E70">
        <v>54</v>
      </c>
      <c r="F70">
        <v>39</v>
      </c>
      <c r="G70" t="s">
        <v>14</v>
      </c>
      <c r="H70" t="s">
        <v>16</v>
      </c>
      <c r="I70" t="s">
        <v>16</v>
      </c>
      <c r="J70">
        <f t="shared" si="4"/>
        <v>53</v>
      </c>
      <c r="K70">
        <f t="shared" si="5"/>
        <v>89.1</v>
      </c>
      <c r="L70">
        <f t="shared" si="6"/>
        <v>36.5</v>
      </c>
      <c r="M70">
        <f t="shared" si="7"/>
        <v>68.06</v>
      </c>
    </row>
    <row r="71" spans="1:13" x14ac:dyDescent="0.45">
      <c r="A71">
        <v>70</v>
      </c>
      <c r="B71" t="s">
        <v>13</v>
      </c>
      <c r="C71">
        <v>1400</v>
      </c>
      <c r="D71">
        <v>78</v>
      </c>
      <c r="E71">
        <v>55</v>
      </c>
      <c r="F71">
        <v>26</v>
      </c>
      <c r="G71" t="s">
        <v>16</v>
      </c>
      <c r="H71" t="s">
        <v>14</v>
      </c>
      <c r="I71" t="s">
        <v>16</v>
      </c>
      <c r="J71">
        <f t="shared" si="4"/>
        <v>85.800000000000011</v>
      </c>
      <c r="K71">
        <f t="shared" si="5"/>
        <v>78.400000000000006</v>
      </c>
      <c r="L71">
        <f t="shared" si="6"/>
        <v>44</v>
      </c>
      <c r="M71">
        <f t="shared" si="7"/>
        <v>64.64</v>
      </c>
    </row>
    <row r="72" spans="1:13" x14ac:dyDescent="0.45">
      <c r="A72">
        <v>71</v>
      </c>
      <c r="B72" t="s">
        <v>13</v>
      </c>
      <c r="C72">
        <v>1742</v>
      </c>
      <c r="D72">
        <v>50</v>
      </c>
      <c r="E72">
        <v>43</v>
      </c>
      <c r="F72">
        <v>16</v>
      </c>
      <c r="G72" t="s">
        <v>14</v>
      </c>
      <c r="H72" t="s">
        <v>16</v>
      </c>
      <c r="I72" t="s">
        <v>16</v>
      </c>
      <c r="J72">
        <f t="shared" si="4"/>
        <v>50</v>
      </c>
      <c r="K72">
        <f t="shared" si="5"/>
        <v>57.4</v>
      </c>
      <c r="L72">
        <f t="shared" si="6"/>
        <v>35</v>
      </c>
      <c r="M72">
        <f t="shared" si="7"/>
        <v>48.44</v>
      </c>
    </row>
    <row r="73" spans="1:13" x14ac:dyDescent="0.45">
      <c r="A73">
        <v>72</v>
      </c>
      <c r="B73" t="s">
        <v>17</v>
      </c>
      <c r="C73">
        <v>1359</v>
      </c>
      <c r="D73">
        <v>93</v>
      </c>
      <c r="E73">
        <v>53</v>
      </c>
      <c r="F73">
        <v>27</v>
      </c>
      <c r="G73" t="s">
        <v>14</v>
      </c>
      <c r="H73" t="s">
        <v>16</v>
      </c>
      <c r="I73" t="s">
        <v>14</v>
      </c>
      <c r="J73">
        <f t="shared" si="4"/>
        <v>102.30000000000001</v>
      </c>
      <c r="K73">
        <f t="shared" si="5"/>
        <v>87.3</v>
      </c>
      <c r="L73">
        <f t="shared" si="6"/>
        <v>56.5</v>
      </c>
      <c r="M73">
        <f t="shared" si="7"/>
        <v>74.97999999999999</v>
      </c>
    </row>
    <row r="74" spans="1:13" x14ac:dyDescent="0.45">
      <c r="A74">
        <v>73</v>
      </c>
      <c r="B74" t="s">
        <v>15</v>
      </c>
      <c r="C74">
        <v>389</v>
      </c>
      <c r="D74">
        <v>74</v>
      </c>
      <c r="E74">
        <v>52</v>
      </c>
      <c r="F74">
        <v>39</v>
      </c>
      <c r="G74" t="s">
        <v>14</v>
      </c>
      <c r="H74" t="s">
        <v>14</v>
      </c>
      <c r="I74" t="s">
        <v>14</v>
      </c>
      <c r="J74">
        <f t="shared" si="4"/>
        <v>73.260000000000019</v>
      </c>
      <c r="K74">
        <f t="shared" si="5"/>
        <v>97.1</v>
      </c>
      <c r="L74">
        <f t="shared" si="6"/>
        <v>52</v>
      </c>
      <c r="M74">
        <f t="shared" si="7"/>
        <v>79.059999999999988</v>
      </c>
    </row>
    <row r="75" spans="1:13" x14ac:dyDescent="0.45">
      <c r="A75">
        <v>74</v>
      </c>
      <c r="B75" t="s">
        <v>13</v>
      </c>
      <c r="C75">
        <v>231</v>
      </c>
      <c r="D75">
        <v>79</v>
      </c>
      <c r="E75">
        <v>51</v>
      </c>
      <c r="F75">
        <v>39</v>
      </c>
      <c r="G75" t="s">
        <v>16</v>
      </c>
      <c r="H75" t="s">
        <v>14</v>
      </c>
      <c r="I75" t="s">
        <v>16</v>
      </c>
      <c r="J75">
        <f t="shared" si="4"/>
        <v>86.9</v>
      </c>
      <c r="K75">
        <f t="shared" si="5"/>
        <v>86.1</v>
      </c>
      <c r="L75">
        <f t="shared" si="6"/>
        <v>44.5</v>
      </c>
      <c r="M75">
        <f t="shared" si="7"/>
        <v>69.459999999999994</v>
      </c>
    </row>
    <row r="76" spans="1:13" x14ac:dyDescent="0.45">
      <c r="A76">
        <v>75</v>
      </c>
      <c r="B76" t="s">
        <v>17</v>
      </c>
      <c r="C76">
        <v>1802</v>
      </c>
      <c r="D76">
        <v>95</v>
      </c>
      <c r="E76">
        <v>48</v>
      </c>
      <c r="F76">
        <v>22</v>
      </c>
      <c r="G76" t="s">
        <v>14</v>
      </c>
      <c r="H76" t="s">
        <v>14</v>
      </c>
      <c r="I76" t="s">
        <v>14</v>
      </c>
      <c r="J76">
        <f t="shared" si="4"/>
        <v>114.95000000000003</v>
      </c>
      <c r="K76">
        <f t="shared" si="5"/>
        <v>77.8</v>
      </c>
      <c r="L76">
        <f t="shared" si="6"/>
        <v>62.5</v>
      </c>
      <c r="M76">
        <f t="shared" si="7"/>
        <v>71.680000000000007</v>
      </c>
    </row>
    <row r="77" spans="1:13" x14ac:dyDescent="0.45">
      <c r="A77">
        <v>76</v>
      </c>
      <c r="B77" t="s">
        <v>15</v>
      </c>
      <c r="C77">
        <v>454</v>
      </c>
      <c r="D77">
        <v>55</v>
      </c>
      <c r="E77">
        <v>45</v>
      </c>
      <c r="F77">
        <v>20</v>
      </c>
      <c r="G77" t="s">
        <v>14</v>
      </c>
      <c r="H77" t="s">
        <v>14</v>
      </c>
      <c r="I77" t="s">
        <v>16</v>
      </c>
      <c r="J77">
        <f t="shared" si="4"/>
        <v>54.45</v>
      </c>
      <c r="K77">
        <f t="shared" si="5"/>
        <v>63</v>
      </c>
      <c r="L77">
        <f t="shared" si="6"/>
        <v>42.5</v>
      </c>
      <c r="M77">
        <f t="shared" si="7"/>
        <v>54.8</v>
      </c>
    </row>
    <row r="78" spans="1:13" x14ac:dyDescent="0.45">
      <c r="A78">
        <v>77</v>
      </c>
      <c r="B78" t="s">
        <v>17</v>
      </c>
      <c r="C78">
        <v>258</v>
      </c>
      <c r="D78">
        <v>94</v>
      </c>
      <c r="E78">
        <v>39</v>
      </c>
      <c r="F78">
        <v>37</v>
      </c>
      <c r="G78" t="s">
        <v>14</v>
      </c>
      <c r="H78" t="s">
        <v>16</v>
      </c>
      <c r="I78" t="s">
        <v>14</v>
      </c>
      <c r="J78">
        <f t="shared" si="4"/>
        <v>103.4</v>
      </c>
      <c r="K78">
        <f t="shared" si="5"/>
        <v>82.3</v>
      </c>
      <c r="L78">
        <f t="shared" si="6"/>
        <v>57</v>
      </c>
      <c r="M78">
        <f t="shared" si="7"/>
        <v>72.179999999999993</v>
      </c>
    </row>
    <row r="79" spans="1:13" x14ac:dyDescent="0.45">
      <c r="A79">
        <v>78</v>
      </c>
      <c r="B79" t="s">
        <v>17</v>
      </c>
      <c r="C79">
        <v>1908</v>
      </c>
      <c r="D79">
        <v>47</v>
      </c>
      <c r="E79">
        <v>36</v>
      </c>
      <c r="F79">
        <v>24</v>
      </c>
      <c r="G79" t="s">
        <v>14</v>
      </c>
      <c r="H79" t="s">
        <v>14</v>
      </c>
      <c r="I79" t="s">
        <v>14</v>
      </c>
      <c r="J79">
        <f t="shared" si="4"/>
        <v>56.870000000000005</v>
      </c>
      <c r="K79">
        <f t="shared" si="5"/>
        <v>67.599999999999994</v>
      </c>
      <c r="L79">
        <f t="shared" si="6"/>
        <v>38.5</v>
      </c>
      <c r="M79">
        <f t="shared" si="7"/>
        <v>55.959999999999994</v>
      </c>
    </row>
    <row r="80" spans="1:13" x14ac:dyDescent="0.45">
      <c r="A80">
        <v>79</v>
      </c>
      <c r="B80" t="s">
        <v>13</v>
      </c>
      <c r="C80">
        <v>1030</v>
      </c>
      <c r="D80">
        <v>65</v>
      </c>
      <c r="E80">
        <v>26</v>
      </c>
      <c r="F80">
        <v>15</v>
      </c>
      <c r="G80" t="s">
        <v>14</v>
      </c>
      <c r="H80" t="s">
        <v>14</v>
      </c>
      <c r="I80" t="s">
        <v>16</v>
      </c>
      <c r="J80">
        <f t="shared" si="4"/>
        <v>71.5</v>
      </c>
      <c r="K80">
        <f t="shared" si="5"/>
        <v>39.5</v>
      </c>
      <c r="L80">
        <f t="shared" si="6"/>
        <v>47.5</v>
      </c>
      <c r="M80">
        <f t="shared" si="7"/>
        <v>42.7</v>
      </c>
    </row>
    <row r="81" spans="1:13" x14ac:dyDescent="0.45">
      <c r="A81">
        <v>80</v>
      </c>
      <c r="B81" t="s">
        <v>17</v>
      </c>
      <c r="C81">
        <v>1964</v>
      </c>
      <c r="D81">
        <v>73</v>
      </c>
      <c r="E81">
        <v>36</v>
      </c>
      <c r="F81">
        <v>16</v>
      </c>
      <c r="G81" t="s">
        <v>16</v>
      </c>
      <c r="H81" t="s">
        <v>14</v>
      </c>
      <c r="I81" t="s">
        <v>14</v>
      </c>
      <c r="J81">
        <f t="shared" si="4"/>
        <v>88.330000000000027</v>
      </c>
      <c r="K81">
        <f t="shared" si="5"/>
        <v>60.4</v>
      </c>
      <c r="L81">
        <f t="shared" si="6"/>
        <v>41.5</v>
      </c>
      <c r="M81">
        <f t="shared" si="7"/>
        <v>52.839999999999996</v>
      </c>
    </row>
    <row r="82" spans="1:13" x14ac:dyDescent="0.45">
      <c r="A82">
        <v>81</v>
      </c>
      <c r="B82" t="s">
        <v>15</v>
      </c>
      <c r="C82">
        <v>193</v>
      </c>
      <c r="D82">
        <v>42</v>
      </c>
      <c r="E82">
        <v>33</v>
      </c>
      <c r="F82">
        <v>33</v>
      </c>
      <c r="G82" t="s">
        <v>16</v>
      </c>
      <c r="H82" t="s">
        <v>16</v>
      </c>
      <c r="I82" t="s">
        <v>14</v>
      </c>
      <c r="J82">
        <f t="shared" si="4"/>
        <v>37.800000000000004</v>
      </c>
      <c r="K82">
        <f t="shared" si="5"/>
        <v>72.7</v>
      </c>
      <c r="L82">
        <f t="shared" si="6"/>
        <v>21</v>
      </c>
      <c r="M82">
        <f t="shared" si="7"/>
        <v>52.019999999999996</v>
      </c>
    </row>
    <row r="83" spans="1:13" x14ac:dyDescent="0.45">
      <c r="A83">
        <v>82</v>
      </c>
      <c r="B83" t="s">
        <v>15</v>
      </c>
      <c r="C83">
        <v>1149</v>
      </c>
      <c r="D83">
        <v>42</v>
      </c>
      <c r="E83">
        <v>35</v>
      </c>
      <c r="F83">
        <v>17</v>
      </c>
      <c r="G83" t="s">
        <v>16</v>
      </c>
      <c r="H83" t="s">
        <v>14</v>
      </c>
      <c r="I83" t="s">
        <v>14</v>
      </c>
      <c r="J83">
        <f t="shared" si="4"/>
        <v>41.580000000000005</v>
      </c>
      <c r="K83">
        <f t="shared" si="5"/>
        <v>60.3</v>
      </c>
      <c r="L83">
        <f t="shared" si="6"/>
        <v>26</v>
      </c>
      <c r="M83">
        <f t="shared" si="7"/>
        <v>46.58</v>
      </c>
    </row>
    <row r="84" spans="1:13" x14ac:dyDescent="0.45">
      <c r="A84">
        <v>83</v>
      </c>
      <c r="B84" t="s">
        <v>17</v>
      </c>
      <c r="C84">
        <v>224</v>
      </c>
      <c r="D84">
        <v>87</v>
      </c>
      <c r="E84">
        <v>35</v>
      </c>
      <c r="F84">
        <v>34</v>
      </c>
      <c r="G84" t="s">
        <v>14</v>
      </c>
      <c r="H84" t="s">
        <v>16</v>
      </c>
      <c r="I84" t="s">
        <v>14</v>
      </c>
      <c r="J84">
        <f t="shared" si="4"/>
        <v>95.7</v>
      </c>
      <c r="K84">
        <f t="shared" si="5"/>
        <v>75.599999999999994</v>
      </c>
      <c r="L84">
        <f t="shared" si="6"/>
        <v>53.5</v>
      </c>
      <c r="M84">
        <f t="shared" si="7"/>
        <v>66.759999999999991</v>
      </c>
    </row>
    <row r="85" spans="1:13" x14ac:dyDescent="0.45">
      <c r="A85">
        <v>84</v>
      </c>
      <c r="B85" t="s">
        <v>15</v>
      </c>
      <c r="C85">
        <v>1925</v>
      </c>
      <c r="D85">
        <v>62</v>
      </c>
      <c r="E85">
        <v>56</v>
      </c>
      <c r="F85">
        <v>15</v>
      </c>
      <c r="G85" t="s">
        <v>16</v>
      </c>
      <c r="H85" t="s">
        <v>14</v>
      </c>
      <c r="I85" t="s">
        <v>16</v>
      </c>
      <c r="J85">
        <f t="shared" si="4"/>
        <v>61.38000000000001</v>
      </c>
      <c r="K85">
        <f t="shared" si="5"/>
        <v>69.5</v>
      </c>
      <c r="L85">
        <f t="shared" si="6"/>
        <v>36</v>
      </c>
      <c r="M85">
        <f t="shared" si="7"/>
        <v>56.099999999999994</v>
      </c>
    </row>
    <row r="86" spans="1:13" x14ac:dyDescent="0.45">
      <c r="A86">
        <v>85</v>
      </c>
      <c r="B86" t="s">
        <v>17</v>
      </c>
      <c r="C86">
        <v>248</v>
      </c>
      <c r="D86">
        <v>75</v>
      </c>
      <c r="E86">
        <v>20</v>
      </c>
      <c r="F86">
        <v>27</v>
      </c>
      <c r="G86" t="s">
        <v>14</v>
      </c>
      <c r="H86" t="s">
        <v>14</v>
      </c>
      <c r="I86" t="s">
        <v>16</v>
      </c>
      <c r="J86">
        <f t="shared" si="4"/>
        <v>90.750000000000014</v>
      </c>
      <c r="K86">
        <f t="shared" si="5"/>
        <v>44.3</v>
      </c>
      <c r="L86">
        <f t="shared" si="6"/>
        <v>52.5</v>
      </c>
      <c r="M86">
        <f t="shared" si="7"/>
        <v>47.58</v>
      </c>
    </row>
    <row r="87" spans="1:13" x14ac:dyDescent="0.45">
      <c r="A87">
        <v>86</v>
      </c>
      <c r="B87" t="s">
        <v>17</v>
      </c>
      <c r="C87">
        <v>185</v>
      </c>
      <c r="D87">
        <v>48</v>
      </c>
      <c r="E87">
        <v>42</v>
      </c>
      <c r="F87">
        <v>22</v>
      </c>
      <c r="G87" t="s">
        <v>16</v>
      </c>
      <c r="H87" t="s">
        <v>16</v>
      </c>
      <c r="I87" t="s">
        <v>14</v>
      </c>
      <c r="J87">
        <f t="shared" si="4"/>
        <v>52.800000000000004</v>
      </c>
      <c r="K87">
        <f t="shared" si="5"/>
        <v>71.8</v>
      </c>
      <c r="L87">
        <f t="shared" si="6"/>
        <v>24</v>
      </c>
      <c r="M87">
        <f t="shared" si="7"/>
        <v>52.68</v>
      </c>
    </row>
    <row r="88" spans="1:13" x14ac:dyDescent="0.45">
      <c r="A88">
        <v>87</v>
      </c>
      <c r="B88" t="s">
        <v>13</v>
      </c>
      <c r="C88">
        <v>1964</v>
      </c>
      <c r="D88">
        <v>51</v>
      </c>
      <c r="E88">
        <v>22</v>
      </c>
      <c r="F88">
        <v>36</v>
      </c>
      <c r="G88" t="s">
        <v>16</v>
      </c>
      <c r="H88" t="s">
        <v>16</v>
      </c>
      <c r="I88" t="s">
        <v>14</v>
      </c>
      <c r="J88">
        <f t="shared" si="4"/>
        <v>51</v>
      </c>
      <c r="K88">
        <f t="shared" si="5"/>
        <v>64.400000000000006</v>
      </c>
      <c r="L88">
        <f t="shared" si="6"/>
        <v>25.5</v>
      </c>
      <c r="M88">
        <f t="shared" si="7"/>
        <v>48.84</v>
      </c>
    </row>
    <row r="89" spans="1:13" x14ac:dyDescent="0.45">
      <c r="A89">
        <v>88</v>
      </c>
      <c r="B89" t="s">
        <v>17</v>
      </c>
      <c r="C89">
        <v>1481</v>
      </c>
      <c r="D89">
        <v>55</v>
      </c>
      <c r="E89">
        <v>22</v>
      </c>
      <c r="F89">
        <v>26</v>
      </c>
      <c r="G89" t="s">
        <v>14</v>
      </c>
      <c r="H89" t="s">
        <v>14</v>
      </c>
      <c r="I89" t="s">
        <v>14</v>
      </c>
      <c r="J89">
        <f t="shared" si="4"/>
        <v>66.550000000000011</v>
      </c>
      <c r="K89">
        <f t="shared" si="5"/>
        <v>55.4</v>
      </c>
      <c r="L89">
        <f t="shared" si="6"/>
        <v>42.5</v>
      </c>
      <c r="M89">
        <f t="shared" si="7"/>
        <v>50.239999999999995</v>
      </c>
    </row>
    <row r="90" spans="1:13" x14ac:dyDescent="0.45">
      <c r="A90">
        <v>89</v>
      </c>
      <c r="B90" t="s">
        <v>13</v>
      </c>
      <c r="C90">
        <v>1801</v>
      </c>
      <c r="D90">
        <v>66</v>
      </c>
      <c r="E90">
        <v>24</v>
      </c>
      <c r="F90">
        <v>17</v>
      </c>
      <c r="G90" t="s">
        <v>16</v>
      </c>
      <c r="H90" t="s">
        <v>14</v>
      </c>
      <c r="I90" t="s">
        <v>14</v>
      </c>
      <c r="J90">
        <f t="shared" si="4"/>
        <v>72.600000000000009</v>
      </c>
      <c r="K90">
        <f t="shared" si="5"/>
        <v>49.3</v>
      </c>
      <c r="L90">
        <f t="shared" si="6"/>
        <v>38</v>
      </c>
      <c r="M90">
        <f t="shared" si="7"/>
        <v>44.78</v>
      </c>
    </row>
    <row r="91" spans="1:13" x14ac:dyDescent="0.45">
      <c r="A91">
        <v>90</v>
      </c>
      <c r="B91" t="s">
        <v>17</v>
      </c>
      <c r="C91">
        <v>1512</v>
      </c>
      <c r="D91">
        <v>42</v>
      </c>
      <c r="E91">
        <v>29</v>
      </c>
      <c r="F91">
        <v>16</v>
      </c>
      <c r="G91" t="s">
        <v>16</v>
      </c>
      <c r="H91" t="s">
        <v>14</v>
      </c>
      <c r="I91" t="s">
        <v>14</v>
      </c>
      <c r="J91">
        <f t="shared" si="4"/>
        <v>50.820000000000007</v>
      </c>
      <c r="K91">
        <f t="shared" si="5"/>
        <v>53.4</v>
      </c>
      <c r="L91">
        <f t="shared" si="6"/>
        <v>26</v>
      </c>
      <c r="M91">
        <f t="shared" si="7"/>
        <v>42.44</v>
      </c>
    </row>
    <row r="92" spans="1:13" x14ac:dyDescent="0.45">
      <c r="A92">
        <v>91</v>
      </c>
      <c r="B92" t="s">
        <v>13</v>
      </c>
      <c r="C92">
        <v>648</v>
      </c>
      <c r="D92">
        <v>77</v>
      </c>
      <c r="E92">
        <v>33</v>
      </c>
      <c r="F92">
        <v>29</v>
      </c>
      <c r="G92" t="s">
        <v>16</v>
      </c>
      <c r="H92" t="s">
        <v>16</v>
      </c>
      <c r="I92" t="s">
        <v>14</v>
      </c>
      <c r="J92">
        <f t="shared" si="4"/>
        <v>77</v>
      </c>
      <c r="K92">
        <f t="shared" si="5"/>
        <v>69.099999999999994</v>
      </c>
      <c r="L92">
        <f t="shared" si="6"/>
        <v>38.5</v>
      </c>
      <c r="M92">
        <f t="shared" si="7"/>
        <v>56.859999999999992</v>
      </c>
    </row>
    <row r="93" spans="1:13" x14ac:dyDescent="0.45">
      <c r="A93">
        <v>92</v>
      </c>
      <c r="B93" t="s">
        <v>13</v>
      </c>
      <c r="C93">
        <v>776</v>
      </c>
      <c r="D93">
        <v>66</v>
      </c>
      <c r="E93">
        <v>54</v>
      </c>
      <c r="F93">
        <v>27</v>
      </c>
      <c r="G93" t="s">
        <v>16</v>
      </c>
      <c r="H93" t="s">
        <v>14</v>
      </c>
      <c r="I93" t="s">
        <v>14</v>
      </c>
      <c r="J93">
        <f t="shared" si="4"/>
        <v>72.600000000000009</v>
      </c>
      <c r="K93">
        <f t="shared" si="5"/>
        <v>88.3</v>
      </c>
      <c r="L93">
        <f t="shared" si="6"/>
        <v>38</v>
      </c>
      <c r="M93">
        <f t="shared" si="7"/>
        <v>68.179999999999993</v>
      </c>
    </row>
    <row r="94" spans="1:13" x14ac:dyDescent="0.45">
      <c r="A94">
        <v>93</v>
      </c>
      <c r="B94" t="s">
        <v>13</v>
      </c>
      <c r="C94">
        <v>488</v>
      </c>
      <c r="D94">
        <v>88</v>
      </c>
      <c r="E94">
        <v>44</v>
      </c>
      <c r="F94">
        <v>40</v>
      </c>
      <c r="G94" t="s">
        <v>16</v>
      </c>
      <c r="H94" t="s">
        <v>16</v>
      </c>
      <c r="I94" t="s">
        <v>14</v>
      </c>
      <c r="J94">
        <f t="shared" si="4"/>
        <v>88</v>
      </c>
      <c r="K94">
        <f t="shared" si="5"/>
        <v>90</v>
      </c>
      <c r="L94">
        <f t="shared" si="6"/>
        <v>44</v>
      </c>
      <c r="M94">
        <f t="shared" si="7"/>
        <v>71.599999999999994</v>
      </c>
    </row>
    <row r="95" spans="1:13" x14ac:dyDescent="0.45">
      <c r="A95">
        <v>94</v>
      </c>
      <c r="B95" t="s">
        <v>17</v>
      </c>
      <c r="C95">
        <v>1232</v>
      </c>
      <c r="D95">
        <v>91</v>
      </c>
      <c r="E95">
        <v>35</v>
      </c>
      <c r="F95">
        <v>17</v>
      </c>
      <c r="G95" t="s">
        <v>14</v>
      </c>
      <c r="H95" t="s">
        <v>14</v>
      </c>
      <c r="I95" t="s">
        <v>14</v>
      </c>
      <c r="J95">
        <f t="shared" si="4"/>
        <v>110.11000000000001</v>
      </c>
      <c r="K95">
        <f t="shared" si="5"/>
        <v>60.3</v>
      </c>
      <c r="L95">
        <f t="shared" si="6"/>
        <v>60.5</v>
      </c>
      <c r="M95">
        <f t="shared" si="7"/>
        <v>60.38</v>
      </c>
    </row>
    <row r="96" spans="1:13" x14ac:dyDescent="0.45">
      <c r="A96">
        <v>95</v>
      </c>
      <c r="B96" t="s">
        <v>17</v>
      </c>
      <c r="C96">
        <v>1261</v>
      </c>
      <c r="D96">
        <v>53</v>
      </c>
      <c r="E96">
        <v>21</v>
      </c>
      <c r="F96">
        <v>21</v>
      </c>
      <c r="G96" t="s">
        <v>14</v>
      </c>
      <c r="H96" t="s">
        <v>14</v>
      </c>
      <c r="I96" t="s">
        <v>14</v>
      </c>
      <c r="J96">
        <f t="shared" si="4"/>
        <v>64.13000000000001</v>
      </c>
      <c r="K96">
        <f t="shared" si="5"/>
        <v>49.9</v>
      </c>
      <c r="L96">
        <f t="shared" si="6"/>
        <v>41.5</v>
      </c>
      <c r="M96">
        <f t="shared" si="7"/>
        <v>46.54</v>
      </c>
    </row>
    <row r="97" spans="1:13" x14ac:dyDescent="0.45">
      <c r="A97">
        <v>96</v>
      </c>
      <c r="B97" t="s">
        <v>17</v>
      </c>
      <c r="C97">
        <v>195</v>
      </c>
      <c r="D97">
        <v>42</v>
      </c>
      <c r="E97">
        <v>54</v>
      </c>
      <c r="F97">
        <v>35</v>
      </c>
      <c r="G97" t="s">
        <v>14</v>
      </c>
      <c r="H97" t="s">
        <v>16</v>
      </c>
      <c r="I97" t="s">
        <v>14</v>
      </c>
      <c r="J97">
        <f t="shared" si="4"/>
        <v>46.2</v>
      </c>
      <c r="K97">
        <f t="shared" si="5"/>
        <v>95.5</v>
      </c>
      <c r="L97">
        <f t="shared" si="6"/>
        <v>31</v>
      </c>
      <c r="M97">
        <f t="shared" si="7"/>
        <v>69.7</v>
      </c>
    </row>
    <row r="98" spans="1:13" x14ac:dyDescent="0.45">
      <c r="A98">
        <v>97</v>
      </c>
      <c r="B98" t="s">
        <v>15</v>
      </c>
      <c r="C98">
        <v>684</v>
      </c>
      <c r="D98">
        <v>81</v>
      </c>
      <c r="E98">
        <v>24</v>
      </c>
      <c r="F98">
        <v>22</v>
      </c>
      <c r="G98" t="s">
        <v>16</v>
      </c>
      <c r="H98" t="s">
        <v>14</v>
      </c>
      <c r="I98" t="s">
        <v>14</v>
      </c>
      <c r="J98">
        <f t="shared" si="4"/>
        <v>80.190000000000012</v>
      </c>
      <c r="K98">
        <f t="shared" si="5"/>
        <v>53.8</v>
      </c>
      <c r="L98">
        <f t="shared" si="6"/>
        <v>45.5</v>
      </c>
      <c r="M98">
        <f t="shared" si="7"/>
        <v>50.47999999999999</v>
      </c>
    </row>
    <row r="99" spans="1:13" x14ac:dyDescent="0.45">
      <c r="A99">
        <v>98</v>
      </c>
      <c r="B99" t="s">
        <v>15</v>
      </c>
      <c r="C99">
        <v>744</v>
      </c>
      <c r="D99">
        <v>92</v>
      </c>
      <c r="E99">
        <v>60</v>
      </c>
      <c r="F99">
        <v>18</v>
      </c>
      <c r="G99" t="s">
        <v>14</v>
      </c>
      <c r="H99" t="s">
        <v>14</v>
      </c>
      <c r="I99" t="s">
        <v>14</v>
      </c>
      <c r="J99">
        <f t="shared" si="4"/>
        <v>91.08</v>
      </c>
      <c r="K99">
        <f t="shared" si="5"/>
        <v>86.2</v>
      </c>
      <c r="L99">
        <f t="shared" si="6"/>
        <v>61</v>
      </c>
      <c r="M99">
        <f t="shared" si="7"/>
        <v>76.12</v>
      </c>
    </row>
    <row r="100" spans="1:13" x14ac:dyDescent="0.45">
      <c r="A100">
        <v>99</v>
      </c>
      <c r="B100" t="s">
        <v>17</v>
      </c>
      <c r="C100">
        <v>893</v>
      </c>
      <c r="D100">
        <v>76</v>
      </c>
      <c r="E100">
        <v>42</v>
      </c>
      <c r="F100">
        <v>29</v>
      </c>
      <c r="G100" t="s">
        <v>14</v>
      </c>
      <c r="H100" t="s">
        <v>14</v>
      </c>
      <c r="I100" t="s">
        <v>14</v>
      </c>
      <c r="J100">
        <f t="shared" si="4"/>
        <v>91.960000000000022</v>
      </c>
      <c r="K100">
        <f t="shared" si="5"/>
        <v>78.099999999999994</v>
      </c>
      <c r="L100">
        <f t="shared" si="6"/>
        <v>53</v>
      </c>
      <c r="M100">
        <f t="shared" si="7"/>
        <v>68.06</v>
      </c>
    </row>
    <row r="101" spans="1:13" x14ac:dyDescent="0.45">
      <c r="A101">
        <v>100</v>
      </c>
      <c r="B101" t="s">
        <v>15</v>
      </c>
      <c r="C101">
        <v>581</v>
      </c>
      <c r="D101">
        <v>41</v>
      </c>
      <c r="E101">
        <v>39</v>
      </c>
      <c r="F101">
        <v>32</v>
      </c>
      <c r="G101" t="s">
        <v>14</v>
      </c>
      <c r="H101" t="s">
        <v>14</v>
      </c>
      <c r="I101" t="s">
        <v>14</v>
      </c>
      <c r="J101">
        <f t="shared" si="4"/>
        <v>40.590000000000003</v>
      </c>
      <c r="K101">
        <f t="shared" si="5"/>
        <v>77.8</v>
      </c>
      <c r="L101">
        <f t="shared" si="6"/>
        <v>35.5</v>
      </c>
      <c r="M101">
        <f t="shared" si="7"/>
        <v>60.88</v>
      </c>
    </row>
    <row r="102" spans="1:13" x14ac:dyDescent="0.45">
      <c r="A102">
        <v>101</v>
      </c>
      <c r="B102" t="s">
        <v>17</v>
      </c>
      <c r="C102">
        <v>514</v>
      </c>
      <c r="D102">
        <v>73</v>
      </c>
      <c r="E102">
        <v>45</v>
      </c>
      <c r="F102">
        <v>25</v>
      </c>
      <c r="G102" t="s">
        <v>16</v>
      </c>
      <c r="H102" t="s">
        <v>16</v>
      </c>
      <c r="I102" t="s">
        <v>16</v>
      </c>
      <c r="J102">
        <f t="shared" si="4"/>
        <v>80.300000000000011</v>
      </c>
      <c r="K102">
        <f t="shared" si="5"/>
        <v>67.5</v>
      </c>
      <c r="L102">
        <f t="shared" si="6"/>
        <v>36.5</v>
      </c>
      <c r="M102">
        <f t="shared" si="7"/>
        <v>55.1</v>
      </c>
    </row>
    <row r="103" spans="1:13" x14ac:dyDescent="0.45">
      <c r="A103">
        <v>102</v>
      </c>
      <c r="B103" t="s">
        <v>13</v>
      </c>
      <c r="C103">
        <v>312</v>
      </c>
      <c r="D103">
        <v>45</v>
      </c>
      <c r="E103">
        <v>54</v>
      </c>
      <c r="F103">
        <v>25</v>
      </c>
      <c r="G103" t="s">
        <v>16</v>
      </c>
      <c r="H103" t="s">
        <v>14</v>
      </c>
      <c r="I103" t="s">
        <v>16</v>
      </c>
      <c r="J103">
        <f t="shared" si="4"/>
        <v>49.500000000000007</v>
      </c>
      <c r="K103">
        <f t="shared" si="5"/>
        <v>76.5</v>
      </c>
      <c r="L103">
        <f t="shared" si="6"/>
        <v>27.5</v>
      </c>
      <c r="M103">
        <f t="shared" si="7"/>
        <v>56.9</v>
      </c>
    </row>
    <row r="104" spans="1:13" x14ac:dyDescent="0.45">
      <c r="A104">
        <v>103</v>
      </c>
      <c r="B104" t="s">
        <v>15</v>
      </c>
      <c r="C104">
        <v>1133</v>
      </c>
      <c r="D104">
        <v>53</v>
      </c>
      <c r="E104">
        <v>44</v>
      </c>
      <c r="F104">
        <v>22</v>
      </c>
      <c r="G104" t="s">
        <v>14</v>
      </c>
      <c r="H104" t="s">
        <v>14</v>
      </c>
      <c r="I104" t="s">
        <v>16</v>
      </c>
      <c r="J104">
        <f t="shared" si="4"/>
        <v>52.470000000000006</v>
      </c>
      <c r="K104">
        <f t="shared" si="5"/>
        <v>63.8</v>
      </c>
      <c r="L104">
        <f t="shared" si="6"/>
        <v>41.5</v>
      </c>
      <c r="M104">
        <f t="shared" si="7"/>
        <v>54.879999999999995</v>
      </c>
    </row>
    <row r="105" spans="1:13" x14ac:dyDescent="0.45">
      <c r="A105">
        <v>104</v>
      </c>
      <c r="B105" t="s">
        <v>13</v>
      </c>
      <c r="C105">
        <v>991</v>
      </c>
      <c r="D105">
        <v>59</v>
      </c>
      <c r="E105">
        <v>56</v>
      </c>
      <c r="F105">
        <v>39</v>
      </c>
      <c r="G105" t="s">
        <v>14</v>
      </c>
      <c r="H105" t="s">
        <v>16</v>
      </c>
      <c r="I105" t="s">
        <v>14</v>
      </c>
      <c r="J105">
        <f t="shared" si="4"/>
        <v>59</v>
      </c>
      <c r="K105">
        <f t="shared" si="5"/>
        <v>100</v>
      </c>
      <c r="L105">
        <f t="shared" si="6"/>
        <v>39.5</v>
      </c>
      <c r="M105">
        <f t="shared" si="7"/>
        <v>75.8</v>
      </c>
    </row>
    <row r="106" spans="1:13" x14ac:dyDescent="0.45">
      <c r="A106">
        <v>105</v>
      </c>
      <c r="B106" t="s">
        <v>17</v>
      </c>
      <c r="C106">
        <v>668</v>
      </c>
      <c r="D106">
        <v>64</v>
      </c>
      <c r="E106">
        <v>57</v>
      </c>
      <c r="F106">
        <v>28</v>
      </c>
      <c r="G106" t="s">
        <v>14</v>
      </c>
      <c r="H106" t="s">
        <v>16</v>
      </c>
      <c r="I106" t="s">
        <v>16</v>
      </c>
      <c r="J106">
        <f t="shared" si="4"/>
        <v>70.400000000000006</v>
      </c>
      <c r="K106">
        <f t="shared" si="5"/>
        <v>82.2</v>
      </c>
      <c r="L106">
        <f t="shared" si="6"/>
        <v>42</v>
      </c>
      <c r="M106">
        <f t="shared" si="7"/>
        <v>66.12</v>
      </c>
    </row>
    <row r="107" spans="1:13" x14ac:dyDescent="0.45">
      <c r="A107">
        <v>106</v>
      </c>
      <c r="B107" t="s">
        <v>17</v>
      </c>
      <c r="C107">
        <v>1115</v>
      </c>
      <c r="D107">
        <v>57</v>
      </c>
      <c r="E107">
        <v>21</v>
      </c>
      <c r="F107">
        <v>35</v>
      </c>
      <c r="G107" t="s">
        <v>14</v>
      </c>
      <c r="H107" t="s">
        <v>16</v>
      </c>
      <c r="I107" t="s">
        <v>14</v>
      </c>
      <c r="J107">
        <f t="shared" si="4"/>
        <v>62.7</v>
      </c>
      <c r="K107">
        <f t="shared" si="5"/>
        <v>62.5</v>
      </c>
      <c r="L107">
        <f t="shared" si="6"/>
        <v>38.5</v>
      </c>
      <c r="M107">
        <f t="shared" si="7"/>
        <v>52.9</v>
      </c>
    </row>
    <row r="108" spans="1:13" x14ac:dyDescent="0.45">
      <c r="A108">
        <v>107</v>
      </c>
      <c r="B108" t="s">
        <v>13</v>
      </c>
      <c r="C108">
        <v>987</v>
      </c>
      <c r="D108">
        <v>80</v>
      </c>
      <c r="E108">
        <v>36</v>
      </c>
      <c r="F108">
        <v>29</v>
      </c>
      <c r="G108" t="s">
        <v>14</v>
      </c>
      <c r="H108" t="s">
        <v>16</v>
      </c>
      <c r="I108" t="s">
        <v>16</v>
      </c>
      <c r="J108">
        <f t="shared" si="4"/>
        <v>80</v>
      </c>
      <c r="K108">
        <f t="shared" si="5"/>
        <v>62.1</v>
      </c>
      <c r="L108">
        <f t="shared" si="6"/>
        <v>50</v>
      </c>
      <c r="M108">
        <f t="shared" si="7"/>
        <v>57.26</v>
      </c>
    </row>
    <row r="109" spans="1:13" x14ac:dyDescent="0.45">
      <c r="A109">
        <v>108</v>
      </c>
      <c r="B109" t="s">
        <v>15</v>
      </c>
      <c r="C109">
        <v>1157</v>
      </c>
      <c r="D109">
        <v>93</v>
      </c>
      <c r="E109">
        <v>29</v>
      </c>
      <c r="F109">
        <v>25</v>
      </c>
      <c r="G109" t="s">
        <v>16</v>
      </c>
      <c r="H109" t="s">
        <v>14</v>
      </c>
      <c r="I109" t="s">
        <v>14</v>
      </c>
      <c r="J109">
        <f t="shared" si="4"/>
        <v>92.070000000000007</v>
      </c>
      <c r="K109">
        <f t="shared" si="5"/>
        <v>61.5</v>
      </c>
      <c r="L109">
        <f t="shared" si="6"/>
        <v>51.5</v>
      </c>
      <c r="M109">
        <f t="shared" si="7"/>
        <v>57.5</v>
      </c>
    </row>
    <row r="110" spans="1:13" x14ac:dyDescent="0.45">
      <c r="A110">
        <v>109</v>
      </c>
      <c r="B110" t="s">
        <v>17</v>
      </c>
      <c r="C110">
        <v>1224</v>
      </c>
      <c r="D110">
        <v>63</v>
      </c>
      <c r="E110">
        <v>23</v>
      </c>
      <c r="F110">
        <v>31</v>
      </c>
      <c r="G110" t="s">
        <v>14</v>
      </c>
      <c r="H110" t="s">
        <v>14</v>
      </c>
      <c r="I110" t="s">
        <v>14</v>
      </c>
      <c r="J110">
        <f t="shared" si="4"/>
        <v>76.230000000000018</v>
      </c>
      <c r="K110">
        <f t="shared" si="5"/>
        <v>60.9</v>
      </c>
      <c r="L110">
        <f t="shared" si="6"/>
        <v>46.5</v>
      </c>
      <c r="M110">
        <f t="shared" si="7"/>
        <v>55.14</v>
      </c>
    </row>
    <row r="111" spans="1:13" x14ac:dyDescent="0.45">
      <c r="A111">
        <v>110</v>
      </c>
      <c r="B111" t="s">
        <v>17</v>
      </c>
      <c r="C111">
        <v>1620</v>
      </c>
      <c r="D111">
        <v>95</v>
      </c>
      <c r="E111">
        <v>25</v>
      </c>
      <c r="F111">
        <v>25</v>
      </c>
      <c r="G111" t="s">
        <v>16</v>
      </c>
      <c r="H111" t="s">
        <v>16</v>
      </c>
      <c r="I111" t="s">
        <v>16</v>
      </c>
      <c r="J111">
        <f t="shared" si="4"/>
        <v>104.50000000000001</v>
      </c>
      <c r="K111">
        <f t="shared" si="5"/>
        <v>47.5</v>
      </c>
      <c r="L111">
        <f t="shared" si="6"/>
        <v>47.5</v>
      </c>
      <c r="M111">
        <f t="shared" si="7"/>
        <v>47.5</v>
      </c>
    </row>
    <row r="112" spans="1:13" x14ac:dyDescent="0.45">
      <c r="A112">
        <v>111</v>
      </c>
      <c r="B112" t="s">
        <v>15</v>
      </c>
      <c r="C112">
        <v>412</v>
      </c>
      <c r="D112">
        <v>76</v>
      </c>
      <c r="E112">
        <v>51</v>
      </c>
      <c r="F112">
        <v>37</v>
      </c>
      <c r="G112" t="s">
        <v>14</v>
      </c>
      <c r="H112" t="s">
        <v>14</v>
      </c>
      <c r="I112" t="s">
        <v>14</v>
      </c>
      <c r="J112">
        <f t="shared" si="4"/>
        <v>75.240000000000009</v>
      </c>
      <c r="K112">
        <f t="shared" si="5"/>
        <v>94.3</v>
      </c>
      <c r="L112">
        <f t="shared" si="6"/>
        <v>53</v>
      </c>
      <c r="M112">
        <f t="shared" si="7"/>
        <v>77.78</v>
      </c>
    </row>
    <row r="113" spans="1:13" x14ac:dyDescent="0.45">
      <c r="A113">
        <v>112</v>
      </c>
      <c r="B113" t="s">
        <v>17</v>
      </c>
      <c r="C113">
        <v>317</v>
      </c>
      <c r="D113">
        <v>63</v>
      </c>
      <c r="E113">
        <v>40</v>
      </c>
      <c r="F113">
        <v>33</v>
      </c>
      <c r="G113" t="s">
        <v>16</v>
      </c>
      <c r="H113" t="s">
        <v>14</v>
      </c>
      <c r="I113" t="s">
        <v>14</v>
      </c>
      <c r="J113">
        <f t="shared" si="4"/>
        <v>76.230000000000018</v>
      </c>
      <c r="K113">
        <f t="shared" si="5"/>
        <v>79.7</v>
      </c>
      <c r="L113">
        <f t="shared" si="6"/>
        <v>36.5</v>
      </c>
      <c r="M113">
        <f t="shared" si="7"/>
        <v>62.42</v>
      </c>
    </row>
    <row r="114" spans="1:13" x14ac:dyDescent="0.45">
      <c r="A114">
        <v>113</v>
      </c>
      <c r="B114" t="s">
        <v>13</v>
      </c>
      <c r="C114">
        <v>1507</v>
      </c>
      <c r="D114">
        <v>43</v>
      </c>
      <c r="E114">
        <v>35</v>
      </c>
      <c r="F114">
        <v>39</v>
      </c>
      <c r="G114" t="s">
        <v>14</v>
      </c>
      <c r="H114" t="s">
        <v>14</v>
      </c>
      <c r="I114" t="s">
        <v>14</v>
      </c>
      <c r="J114">
        <f t="shared" si="4"/>
        <v>47.300000000000004</v>
      </c>
      <c r="K114">
        <f t="shared" si="5"/>
        <v>80.099999999999994</v>
      </c>
      <c r="L114">
        <f t="shared" si="6"/>
        <v>36.5</v>
      </c>
      <c r="M114">
        <f t="shared" si="7"/>
        <v>62.66</v>
      </c>
    </row>
    <row r="115" spans="1:13" x14ac:dyDescent="0.45">
      <c r="A115">
        <v>114</v>
      </c>
      <c r="B115" t="s">
        <v>15</v>
      </c>
      <c r="C115">
        <v>740</v>
      </c>
      <c r="D115">
        <v>87</v>
      </c>
      <c r="E115">
        <v>58</v>
      </c>
      <c r="F115">
        <v>33</v>
      </c>
      <c r="G115" t="s">
        <v>16</v>
      </c>
      <c r="H115" t="s">
        <v>14</v>
      </c>
      <c r="I115" t="s">
        <v>16</v>
      </c>
      <c r="J115">
        <f t="shared" si="4"/>
        <v>86.13000000000001</v>
      </c>
      <c r="K115">
        <f t="shared" si="5"/>
        <v>87.7</v>
      </c>
      <c r="L115">
        <f t="shared" si="6"/>
        <v>48.5</v>
      </c>
      <c r="M115">
        <f t="shared" si="7"/>
        <v>72.02</v>
      </c>
    </row>
    <row r="116" spans="1:13" x14ac:dyDescent="0.45">
      <c r="A116">
        <v>115</v>
      </c>
      <c r="B116" t="s">
        <v>17</v>
      </c>
      <c r="C116">
        <v>169</v>
      </c>
      <c r="D116">
        <v>59</v>
      </c>
      <c r="E116">
        <v>36</v>
      </c>
      <c r="F116">
        <v>18</v>
      </c>
      <c r="G116" t="s">
        <v>16</v>
      </c>
      <c r="H116" t="s">
        <v>14</v>
      </c>
      <c r="I116" t="s">
        <v>14</v>
      </c>
      <c r="J116">
        <f t="shared" si="4"/>
        <v>71.390000000000015</v>
      </c>
      <c r="K116">
        <f t="shared" si="5"/>
        <v>62.2</v>
      </c>
      <c r="L116">
        <f t="shared" si="6"/>
        <v>34.5</v>
      </c>
      <c r="M116">
        <f t="shared" si="7"/>
        <v>51.120000000000005</v>
      </c>
    </row>
    <row r="117" spans="1:13" x14ac:dyDescent="0.45">
      <c r="A117">
        <v>116</v>
      </c>
      <c r="B117" t="s">
        <v>17</v>
      </c>
      <c r="C117">
        <v>1699</v>
      </c>
      <c r="D117">
        <v>44</v>
      </c>
      <c r="E117">
        <v>57</v>
      </c>
      <c r="F117">
        <v>35</v>
      </c>
      <c r="G117" t="s">
        <v>16</v>
      </c>
      <c r="H117" t="s">
        <v>16</v>
      </c>
      <c r="I117" t="s">
        <v>14</v>
      </c>
      <c r="J117">
        <f t="shared" si="4"/>
        <v>48.400000000000006</v>
      </c>
      <c r="K117">
        <f t="shared" si="5"/>
        <v>98.5</v>
      </c>
      <c r="L117">
        <f t="shared" si="6"/>
        <v>22</v>
      </c>
      <c r="M117">
        <f t="shared" si="7"/>
        <v>67.899999999999991</v>
      </c>
    </row>
    <row r="118" spans="1:13" x14ac:dyDescent="0.45">
      <c r="A118">
        <v>117</v>
      </c>
      <c r="B118" t="s">
        <v>13</v>
      </c>
      <c r="C118">
        <v>221</v>
      </c>
      <c r="D118">
        <v>40</v>
      </c>
      <c r="E118">
        <v>26</v>
      </c>
      <c r="F118">
        <v>15</v>
      </c>
      <c r="G118" t="s">
        <v>16</v>
      </c>
      <c r="H118" t="s">
        <v>16</v>
      </c>
      <c r="I118" t="s">
        <v>14</v>
      </c>
      <c r="J118">
        <f t="shared" si="4"/>
        <v>40</v>
      </c>
      <c r="K118">
        <f t="shared" si="5"/>
        <v>49.5</v>
      </c>
      <c r="L118">
        <f t="shared" si="6"/>
        <v>20</v>
      </c>
      <c r="M118">
        <f t="shared" si="7"/>
        <v>37.700000000000003</v>
      </c>
    </row>
    <row r="119" spans="1:13" x14ac:dyDescent="0.45">
      <c r="A119">
        <v>118</v>
      </c>
      <c r="B119" t="s">
        <v>13</v>
      </c>
      <c r="C119">
        <v>539</v>
      </c>
      <c r="D119">
        <v>84</v>
      </c>
      <c r="E119">
        <v>21</v>
      </c>
      <c r="F119">
        <v>22</v>
      </c>
      <c r="G119" t="s">
        <v>16</v>
      </c>
      <c r="H119" t="s">
        <v>14</v>
      </c>
      <c r="I119" t="s">
        <v>16</v>
      </c>
      <c r="J119">
        <f t="shared" si="4"/>
        <v>92.4</v>
      </c>
      <c r="K119">
        <f t="shared" si="5"/>
        <v>40.799999999999997</v>
      </c>
      <c r="L119">
        <f t="shared" si="6"/>
        <v>47</v>
      </c>
      <c r="M119">
        <f t="shared" si="7"/>
        <v>43.28</v>
      </c>
    </row>
    <row r="120" spans="1:13" x14ac:dyDescent="0.45">
      <c r="A120">
        <v>119</v>
      </c>
      <c r="B120" t="s">
        <v>15</v>
      </c>
      <c r="C120">
        <v>1071</v>
      </c>
      <c r="D120">
        <v>91</v>
      </c>
      <c r="E120">
        <v>51</v>
      </c>
      <c r="F120">
        <v>32</v>
      </c>
      <c r="G120" t="s">
        <v>14</v>
      </c>
      <c r="H120" t="s">
        <v>16</v>
      </c>
      <c r="I120" t="s">
        <v>16</v>
      </c>
      <c r="J120">
        <f t="shared" si="4"/>
        <v>81.900000000000006</v>
      </c>
      <c r="K120">
        <f t="shared" si="5"/>
        <v>79.8</v>
      </c>
      <c r="L120">
        <f t="shared" si="6"/>
        <v>55.5</v>
      </c>
      <c r="M120">
        <f t="shared" si="7"/>
        <v>70.08</v>
      </c>
    </row>
    <row r="121" spans="1:13" x14ac:dyDescent="0.45">
      <c r="A121">
        <v>120</v>
      </c>
      <c r="B121" t="s">
        <v>17</v>
      </c>
      <c r="C121">
        <v>564</v>
      </c>
      <c r="D121">
        <v>70</v>
      </c>
      <c r="E121">
        <v>33</v>
      </c>
      <c r="F121">
        <v>35</v>
      </c>
      <c r="G121" t="s">
        <v>16</v>
      </c>
      <c r="H121" t="s">
        <v>14</v>
      </c>
      <c r="I121" t="s">
        <v>14</v>
      </c>
      <c r="J121">
        <f t="shared" si="4"/>
        <v>84.7</v>
      </c>
      <c r="K121">
        <f t="shared" si="5"/>
        <v>74.5</v>
      </c>
      <c r="L121">
        <f t="shared" si="6"/>
        <v>40</v>
      </c>
      <c r="M121">
        <f t="shared" si="7"/>
        <v>60.699999999999996</v>
      </c>
    </row>
    <row r="122" spans="1:13" x14ac:dyDescent="0.45">
      <c r="A122">
        <v>121</v>
      </c>
      <c r="B122" t="s">
        <v>13</v>
      </c>
      <c r="C122">
        <v>922</v>
      </c>
      <c r="D122">
        <v>93</v>
      </c>
      <c r="E122">
        <v>34</v>
      </c>
      <c r="F122">
        <v>40</v>
      </c>
      <c r="G122" t="s">
        <v>14</v>
      </c>
      <c r="H122" t="s">
        <v>16</v>
      </c>
      <c r="I122" t="s">
        <v>16</v>
      </c>
      <c r="J122">
        <f t="shared" si="4"/>
        <v>93</v>
      </c>
      <c r="K122">
        <f t="shared" si="5"/>
        <v>70</v>
      </c>
      <c r="L122">
        <f t="shared" si="6"/>
        <v>56.5</v>
      </c>
      <c r="M122">
        <f t="shared" si="7"/>
        <v>64.599999999999994</v>
      </c>
    </row>
    <row r="123" spans="1:13" x14ac:dyDescent="0.45">
      <c r="A123">
        <v>122</v>
      </c>
      <c r="B123" t="s">
        <v>15</v>
      </c>
      <c r="C123">
        <v>1436</v>
      </c>
      <c r="D123">
        <v>84</v>
      </c>
      <c r="E123">
        <v>54</v>
      </c>
      <c r="F123">
        <v>38</v>
      </c>
      <c r="G123" t="s">
        <v>14</v>
      </c>
      <c r="H123" t="s">
        <v>16</v>
      </c>
      <c r="I123" t="s">
        <v>16</v>
      </c>
      <c r="J123">
        <f t="shared" si="4"/>
        <v>75.600000000000009</v>
      </c>
      <c r="K123">
        <f t="shared" si="5"/>
        <v>88.2</v>
      </c>
      <c r="L123">
        <f t="shared" si="6"/>
        <v>52</v>
      </c>
      <c r="M123">
        <f t="shared" si="7"/>
        <v>73.72</v>
      </c>
    </row>
    <row r="124" spans="1:13" x14ac:dyDescent="0.45">
      <c r="A124">
        <v>123</v>
      </c>
      <c r="B124" t="s">
        <v>15</v>
      </c>
      <c r="C124">
        <v>1207</v>
      </c>
      <c r="D124">
        <v>48</v>
      </c>
      <c r="E124">
        <v>28</v>
      </c>
      <c r="F124">
        <v>19</v>
      </c>
      <c r="G124" t="s">
        <v>16</v>
      </c>
      <c r="H124" t="s">
        <v>14</v>
      </c>
      <c r="I124" t="s">
        <v>14</v>
      </c>
      <c r="J124">
        <f t="shared" si="4"/>
        <v>47.52000000000001</v>
      </c>
      <c r="K124">
        <f t="shared" si="5"/>
        <v>55.1</v>
      </c>
      <c r="L124">
        <f t="shared" si="6"/>
        <v>29</v>
      </c>
      <c r="M124">
        <f t="shared" si="7"/>
        <v>44.660000000000004</v>
      </c>
    </row>
    <row r="125" spans="1:13" x14ac:dyDescent="0.45">
      <c r="A125">
        <v>124</v>
      </c>
      <c r="B125" t="s">
        <v>15</v>
      </c>
      <c r="C125">
        <v>1262</v>
      </c>
      <c r="D125">
        <v>60</v>
      </c>
      <c r="E125">
        <v>30</v>
      </c>
      <c r="F125">
        <v>36</v>
      </c>
      <c r="G125" t="s">
        <v>16</v>
      </c>
      <c r="H125" t="s">
        <v>16</v>
      </c>
      <c r="I125" t="s">
        <v>16</v>
      </c>
      <c r="J125">
        <f t="shared" si="4"/>
        <v>54</v>
      </c>
      <c r="K125">
        <f t="shared" si="5"/>
        <v>62.4</v>
      </c>
      <c r="L125">
        <f t="shared" si="6"/>
        <v>30</v>
      </c>
      <c r="M125">
        <f t="shared" si="7"/>
        <v>49.44</v>
      </c>
    </row>
    <row r="126" spans="1:13" x14ac:dyDescent="0.45">
      <c r="A126">
        <v>125</v>
      </c>
      <c r="B126" t="s">
        <v>13</v>
      </c>
      <c r="C126">
        <v>1568</v>
      </c>
      <c r="D126">
        <v>57</v>
      </c>
      <c r="E126">
        <v>43</v>
      </c>
      <c r="F126">
        <v>21</v>
      </c>
      <c r="G126" t="s">
        <v>14</v>
      </c>
      <c r="H126" t="s">
        <v>14</v>
      </c>
      <c r="I126" t="s">
        <v>14</v>
      </c>
      <c r="J126">
        <f t="shared" si="4"/>
        <v>62.7</v>
      </c>
      <c r="K126">
        <f t="shared" si="5"/>
        <v>71.900000000000006</v>
      </c>
      <c r="L126">
        <f t="shared" si="6"/>
        <v>43.5</v>
      </c>
      <c r="M126">
        <f t="shared" si="7"/>
        <v>60.540000000000006</v>
      </c>
    </row>
    <row r="127" spans="1:13" x14ac:dyDescent="0.45">
      <c r="A127">
        <v>126</v>
      </c>
      <c r="B127" t="s">
        <v>15</v>
      </c>
      <c r="C127">
        <v>1300</v>
      </c>
      <c r="D127">
        <v>70</v>
      </c>
      <c r="E127">
        <v>42</v>
      </c>
      <c r="F127">
        <v>32</v>
      </c>
      <c r="G127" t="s">
        <v>16</v>
      </c>
      <c r="H127" t="s">
        <v>16</v>
      </c>
      <c r="I127" t="s">
        <v>16</v>
      </c>
      <c r="J127">
        <f t="shared" si="4"/>
        <v>63</v>
      </c>
      <c r="K127">
        <f t="shared" si="5"/>
        <v>70.8</v>
      </c>
      <c r="L127">
        <f t="shared" si="6"/>
        <v>35</v>
      </c>
      <c r="M127">
        <f t="shared" si="7"/>
        <v>56.48</v>
      </c>
    </row>
    <row r="128" spans="1:13" x14ac:dyDescent="0.45">
      <c r="A128">
        <v>127</v>
      </c>
      <c r="B128" t="s">
        <v>17</v>
      </c>
      <c r="C128">
        <v>1699</v>
      </c>
      <c r="D128">
        <v>93</v>
      </c>
      <c r="E128">
        <v>46</v>
      </c>
      <c r="F128">
        <v>21</v>
      </c>
      <c r="G128" t="s">
        <v>16</v>
      </c>
      <c r="H128" t="s">
        <v>16</v>
      </c>
      <c r="I128" t="s">
        <v>14</v>
      </c>
      <c r="J128">
        <f t="shared" si="4"/>
        <v>102.30000000000001</v>
      </c>
      <c r="K128">
        <f t="shared" si="5"/>
        <v>74.900000000000006</v>
      </c>
      <c r="L128">
        <f t="shared" si="6"/>
        <v>46.5</v>
      </c>
      <c r="M128">
        <f t="shared" si="7"/>
        <v>63.540000000000006</v>
      </c>
    </row>
    <row r="129" spans="1:13" x14ac:dyDescent="0.45">
      <c r="A129">
        <v>128</v>
      </c>
      <c r="B129" t="s">
        <v>17</v>
      </c>
      <c r="C129">
        <v>753</v>
      </c>
      <c r="D129">
        <v>87</v>
      </c>
      <c r="E129">
        <v>48</v>
      </c>
      <c r="F129">
        <v>17</v>
      </c>
      <c r="G129" t="s">
        <v>16</v>
      </c>
      <c r="H129" t="s">
        <v>16</v>
      </c>
      <c r="I129" t="s">
        <v>16</v>
      </c>
      <c r="J129">
        <f t="shared" si="4"/>
        <v>95.7</v>
      </c>
      <c r="K129">
        <f t="shared" si="5"/>
        <v>63.3</v>
      </c>
      <c r="L129">
        <f t="shared" si="6"/>
        <v>43.5</v>
      </c>
      <c r="M129">
        <f t="shared" si="7"/>
        <v>55.379999999999995</v>
      </c>
    </row>
    <row r="130" spans="1:13" x14ac:dyDescent="0.45">
      <c r="A130">
        <v>129</v>
      </c>
      <c r="B130" t="s">
        <v>17</v>
      </c>
      <c r="C130">
        <v>1594</v>
      </c>
      <c r="D130">
        <v>57</v>
      </c>
      <c r="E130">
        <v>25</v>
      </c>
      <c r="F130">
        <v>35</v>
      </c>
      <c r="G130" t="s">
        <v>16</v>
      </c>
      <c r="H130" t="s">
        <v>16</v>
      </c>
      <c r="I130" t="s">
        <v>16</v>
      </c>
      <c r="J130">
        <f t="shared" ref="J130:J193" si="8">D130*(IF(B130="Residential",0.9,IF(B130="Commercial",1,IF(B130="Infrastructure",1.1,1))))*(IF(H130="Yes",1.1,1))</f>
        <v>62.7</v>
      </c>
      <c r="K130">
        <f t="shared" ref="K130:K193" si="9">MIN((((E130*100)+(F130*90))/100)+IF(I130="Yes",10,0),100)</f>
        <v>56.5</v>
      </c>
      <c r="L130">
        <f t="shared" ref="L130:L193" si="10">MIN((D130*0.5)+IF(G130="Yes",10,0)+IF(H130="Yes",5,0),100)</f>
        <v>28.5</v>
      </c>
      <c r="M130">
        <f t="shared" ref="M130:M193" si="11">MIN((K130*0.6)+(L130*0.4),100)</f>
        <v>45.3</v>
      </c>
    </row>
    <row r="131" spans="1:13" x14ac:dyDescent="0.45">
      <c r="A131">
        <v>130</v>
      </c>
      <c r="B131" t="s">
        <v>13</v>
      </c>
      <c r="C131">
        <v>1844</v>
      </c>
      <c r="D131">
        <v>73</v>
      </c>
      <c r="E131">
        <v>24</v>
      </c>
      <c r="F131">
        <v>36</v>
      </c>
      <c r="G131" t="s">
        <v>16</v>
      </c>
      <c r="H131" t="s">
        <v>14</v>
      </c>
      <c r="I131" t="s">
        <v>16</v>
      </c>
      <c r="J131">
        <f t="shared" si="8"/>
        <v>80.300000000000011</v>
      </c>
      <c r="K131">
        <f t="shared" si="9"/>
        <v>56.4</v>
      </c>
      <c r="L131">
        <f t="shared" si="10"/>
        <v>41.5</v>
      </c>
      <c r="M131">
        <f t="shared" si="11"/>
        <v>50.44</v>
      </c>
    </row>
    <row r="132" spans="1:13" x14ac:dyDescent="0.45">
      <c r="A132">
        <v>131</v>
      </c>
      <c r="B132" t="s">
        <v>15</v>
      </c>
      <c r="C132">
        <v>1532</v>
      </c>
      <c r="D132">
        <v>41</v>
      </c>
      <c r="E132">
        <v>49</v>
      </c>
      <c r="F132">
        <v>27</v>
      </c>
      <c r="G132" t="s">
        <v>16</v>
      </c>
      <c r="H132" t="s">
        <v>14</v>
      </c>
      <c r="I132" t="s">
        <v>14</v>
      </c>
      <c r="J132">
        <f t="shared" si="8"/>
        <v>40.590000000000003</v>
      </c>
      <c r="K132">
        <f t="shared" si="9"/>
        <v>83.3</v>
      </c>
      <c r="L132">
        <f t="shared" si="10"/>
        <v>25.5</v>
      </c>
      <c r="M132">
        <f t="shared" si="11"/>
        <v>60.18</v>
      </c>
    </row>
    <row r="133" spans="1:13" x14ac:dyDescent="0.45">
      <c r="A133">
        <v>132</v>
      </c>
      <c r="B133" t="s">
        <v>13</v>
      </c>
      <c r="C133">
        <v>947</v>
      </c>
      <c r="D133">
        <v>53</v>
      </c>
      <c r="E133">
        <v>41</v>
      </c>
      <c r="F133">
        <v>32</v>
      </c>
      <c r="G133" t="s">
        <v>16</v>
      </c>
      <c r="H133" t="s">
        <v>16</v>
      </c>
      <c r="I133" t="s">
        <v>16</v>
      </c>
      <c r="J133">
        <f t="shared" si="8"/>
        <v>53</v>
      </c>
      <c r="K133">
        <f t="shared" si="9"/>
        <v>69.8</v>
      </c>
      <c r="L133">
        <f t="shared" si="10"/>
        <v>26.5</v>
      </c>
      <c r="M133">
        <f t="shared" si="11"/>
        <v>52.48</v>
      </c>
    </row>
    <row r="134" spans="1:13" x14ac:dyDescent="0.45">
      <c r="A134">
        <v>133</v>
      </c>
      <c r="B134" t="s">
        <v>17</v>
      </c>
      <c r="C134">
        <v>1167</v>
      </c>
      <c r="D134">
        <v>68</v>
      </c>
      <c r="E134">
        <v>53</v>
      </c>
      <c r="F134">
        <v>18</v>
      </c>
      <c r="G134" t="s">
        <v>14</v>
      </c>
      <c r="H134" t="s">
        <v>14</v>
      </c>
      <c r="I134" t="s">
        <v>14</v>
      </c>
      <c r="J134">
        <f t="shared" si="8"/>
        <v>82.280000000000015</v>
      </c>
      <c r="K134">
        <f t="shared" si="9"/>
        <v>79.2</v>
      </c>
      <c r="L134">
        <f t="shared" si="10"/>
        <v>49</v>
      </c>
      <c r="M134">
        <f t="shared" si="11"/>
        <v>67.12</v>
      </c>
    </row>
    <row r="135" spans="1:13" x14ac:dyDescent="0.45">
      <c r="A135">
        <v>134</v>
      </c>
      <c r="B135" t="s">
        <v>13</v>
      </c>
      <c r="C135">
        <v>380</v>
      </c>
      <c r="D135">
        <v>66</v>
      </c>
      <c r="E135">
        <v>25</v>
      </c>
      <c r="F135">
        <v>15</v>
      </c>
      <c r="G135" t="s">
        <v>16</v>
      </c>
      <c r="H135" t="s">
        <v>16</v>
      </c>
      <c r="I135" t="s">
        <v>14</v>
      </c>
      <c r="J135">
        <f t="shared" si="8"/>
        <v>66</v>
      </c>
      <c r="K135">
        <f t="shared" si="9"/>
        <v>48.5</v>
      </c>
      <c r="L135">
        <f t="shared" si="10"/>
        <v>33</v>
      </c>
      <c r="M135">
        <f t="shared" si="11"/>
        <v>42.3</v>
      </c>
    </row>
    <row r="136" spans="1:13" x14ac:dyDescent="0.45">
      <c r="A136">
        <v>135</v>
      </c>
      <c r="B136" t="s">
        <v>17</v>
      </c>
      <c r="C136">
        <v>1327</v>
      </c>
      <c r="D136">
        <v>80</v>
      </c>
      <c r="E136">
        <v>20</v>
      </c>
      <c r="F136">
        <v>23</v>
      </c>
      <c r="G136" t="s">
        <v>14</v>
      </c>
      <c r="H136" t="s">
        <v>14</v>
      </c>
      <c r="I136" t="s">
        <v>14</v>
      </c>
      <c r="J136">
        <f t="shared" si="8"/>
        <v>96.800000000000011</v>
      </c>
      <c r="K136">
        <f t="shared" si="9"/>
        <v>50.7</v>
      </c>
      <c r="L136">
        <f t="shared" si="10"/>
        <v>55</v>
      </c>
      <c r="M136">
        <f t="shared" si="11"/>
        <v>52.42</v>
      </c>
    </row>
    <row r="137" spans="1:13" x14ac:dyDescent="0.45">
      <c r="A137">
        <v>136</v>
      </c>
      <c r="B137" t="s">
        <v>15</v>
      </c>
      <c r="C137">
        <v>1405</v>
      </c>
      <c r="D137">
        <v>65</v>
      </c>
      <c r="E137">
        <v>24</v>
      </c>
      <c r="F137">
        <v>26</v>
      </c>
      <c r="G137" t="s">
        <v>14</v>
      </c>
      <c r="H137" t="s">
        <v>16</v>
      </c>
      <c r="I137" t="s">
        <v>16</v>
      </c>
      <c r="J137">
        <f t="shared" si="8"/>
        <v>58.5</v>
      </c>
      <c r="K137">
        <f t="shared" si="9"/>
        <v>47.4</v>
      </c>
      <c r="L137">
        <f t="shared" si="10"/>
        <v>42.5</v>
      </c>
      <c r="M137">
        <f t="shared" si="11"/>
        <v>45.44</v>
      </c>
    </row>
    <row r="138" spans="1:13" x14ac:dyDescent="0.45">
      <c r="A138">
        <v>137</v>
      </c>
      <c r="B138" t="s">
        <v>17</v>
      </c>
      <c r="C138">
        <v>763</v>
      </c>
      <c r="D138">
        <v>54</v>
      </c>
      <c r="E138">
        <v>43</v>
      </c>
      <c r="F138">
        <v>38</v>
      </c>
      <c r="G138" t="s">
        <v>14</v>
      </c>
      <c r="H138" t="s">
        <v>14</v>
      </c>
      <c r="I138" t="s">
        <v>16</v>
      </c>
      <c r="J138">
        <f t="shared" si="8"/>
        <v>65.340000000000018</v>
      </c>
      <c r="K138">
        <f t="shared" si="9"/>
        <v>77.2</v>
      </c>
      <c r="L138">
        <f t="shared" si="10"/>
        <v>42</v>
      </c>
      <c r="M138">
        <f t="shared" si="11"/>
        <v>63.120000000000005</v>
      </c>
    </row>
    <row r="139" spans="1:13" x14ac:dyDescent="0.45">
      <c r="A139">
        <v>138</v>
      </c>
      <c r="B139" t="s">
        <v>13</v>
      </c>
      <c r="C139">
        <v>792</v>
      </c>
      <c r="D139">
        <v>49</v>
      </c>
      <c r="E139">
        <v>34</v>
      </c>
      <c r="F139">
        <v>39</v>
      </c>
      <c r="G139" t="s">
        <v>14</v>
      </c>
      <c r="H139" t="s">
        <v>16</v>
      </c>
      <c r="I139" t="s">
        <v>16</v>
      </c>
      <c r="J139">
        <f t="shared" si="8"/>
        <v>49</v>
      </c>
      <c r="K139">
        <f t="shared" si="9"/>
        <v>69.099999999999994</v>
      </c>
      <c r="L139">
        <f t="shared" si="10"/>
        <v>34.5</v>
      </c>
      <c r="M139">
        <f t="shared" si="11"/>
        <v>55.259999999999991</v>
      </c>
    </row>
    <row r="140" spans="1:13" x14ac:dyDescent="0.45">
      <c r="A140">
        <v>139</v>
      </c>
      <c r="B140" t="s">
        <v>17</v>
      </c>
      <c r="C140">
        <v>628</v>
      </c>
      <c r="D140">
        <v>40</v>
      </c>
      <c r="E140">
        <v>21</v>
      </c>
      <c r="F140">
        <v>32</v>
      </c>
      <c r="G140" t="s">
        <v>16</v>
      </c>
      <c r="H140" t="s">
        <v>14</v>
      </c>
      <c r="I140" t="s">
        <v>14</v>
      </c>
      <c r="J140">
        <f t="shared" si="8"/>
        <v>48.400000000000006</v>
      </c>
      <c r="K140">
        <f t="shared" si="9"/>
        <v>59.8</v>
      </c>
      <c r="L140">
        <f t="shared" si="10"/>
        <v>25</v>
      </c>
      <c r="M140">
        <f t="shared" si="11"/>
        <v>45.879999999999995</v>
      </c>
    </row>
    <row r="141" spans="1:13" x14ac:dyDescent="0.45">
      <c r="A141">
        <v>140</v>
      </c>
      <c r="B141" t="s">
        <v>17</v>
      </c>
      <c r="C141">
        <v>1023</v>
      </c>
      <c r="D141">
        <v>49</v>
      </c>
      <c r="E141">
        <v>30</v>
      </c>
      <c r="F141">
        <v>33</v>
      </c>
      <c r="G141" t="s">
        <v>16</v>
      </c>
      <c r="H141" t="s">
        <v>14</v>
      </c>
      <c r="I141" t="s">
        <v>14</v>
      </c>
      <c r="J141">
        <f t="shared" si="8"/>
        <v>59.290000000000013</v>
      </c>
      <c r="K141">
        <f t="shared" si="9"/>
        <v>69.7</v>
      </c>
      <c r="L141">
        <f t="shared" si="10"/>
        <v>29.5</v>
      </c>
      <c r="M141">
        <f t="shared" si="11"/>
        <v>53.620000000000005</v>
      </c>
    </row>
    <row r="142" spans="1:13" x14ac:dyDescent="0.45">
      <c r="A142">
        <v>141</v>
      </c>
      <c r="B142" t="s">
        <v>15</v>
      </c>
      <c r="C142">
        <v>759</v>
      </c>
      <c r="D142">
        <v>46</v>
      </c>
      <c r="E142">
        <v>39</v>
      </c>
      <c r="F142">
        <v>23</v>
      </c>
      <c r="G142" t="s">
        <v>14</v>
      </c>
      <c r="H142" t="s">
        <v>14</v>
      </c>
      <c r="I142" t="s">
        <v>14</v>
      </c>
      <c r="J142">
        <f t="shared" si="8"/>
        <v>45.54</v>
      </c>
      <c r="K142">
        <f t="shared" si="9"/>
        <v>69.7</v>
      </c>
      <c r="L142">
        <f t="shared" si="10"/>
        <v>38</v>
      </c>
      <c r="M142">
        <f t="shared" si="11"/>
        <v>57.02</v>
      </c>
    </row>
    <row r="143" spans="1:13" x14ac:dyDescent="0.45">
      <c r="A143">
        <v>142</v>
      </c>
      <c r="B143" t="s">
        <v>15</v>
      </c>
      <c r="C143">
        <v>877</v>
      </c>
      <c r="D143">
        <v>94</v>
      </c>
      <c r="E143">
        <v>57</v>
      </c>
      <c r="F143">
        <v>35</v>
      </c>
      <c r="G143" t="s">
        <v>16</v>
      </c>
      <c r="H143" t="s">
        <v>14</v>
      </c>
      <c r="I143" t="s">
        <v>16</v>
      </c>
      <c r="J143">
        <f t="shared" si="8"/>
        <v>93.060000000000016</v>
      </c>
      <c r="K143">
        <f t="shared" si="9"/>
        <v>88.5</v>
      </c>
      <c r="L143">
        <f t="shared" si="10"/>
        <v>52</v>
      </c>
      <c r="M143">
        <f t="shared" si="11"/>
        <v>73.900000000000006</v>
      </c>
    </row>
    <row r="144" spans="1:13" x14ac:dyDescent="0.45">
      <c r="A144">
        <v>143</v>
      </c>
      <c r="B144" t="s">
        <v>13</v>
      </c>
      <c r="C144">
        <v>430</v>
      </c>
      <c r="D144">
        <v>78</v>
      </c>
      <c r="E144">
        <v>50</v>
      </c>
      <c r="F144">
        <v>18</v>
      </c>
      <c r="G144" t="s">
        <v>14</v>
      </c>
      <c r="H144" t="s">
        <v>14</v>
      </c>
      <c r="I144" t="s">
        <v>14</v>
      </c>
      <c r="J144">
        <f t="shared" si="8"/>
        <v>85.800000000000011</v>
      </c>
      <c r="K144">
        <f t="shared" si="9"/>
        <v>76.2</v>
      </c>
      <c r="L144">
        <f t="shared" si="10"/>
        <v>54</v>
      </c>
      <c r="M144">
        <f t="shared" si="11"/>
        <v>67.319999999999993</v>
      </c>
    </row>
    <row r="145" spans="1:13" x14ac:dyDescent="0.45">
      <c r="A145">
        <v>144</v>
      </c>
      <c r="B145" t="s">
        <v>13</v>
      </c>
      <c r="C145">
        <v>812</v>
      </c>
      <c r="D145">
        <v>89</v>
      </c>
      <c r="E145">
        <v>58</v>
      </c>
      <c r="F145">
        <v>32</v>
      </c>
      <c r="G145" t="s">
        <v>14</v>
      </c>
      <c r="H145" t="s">
        <v>14</v>
      </c>
      <c r="I145" t="s">
        <v>14</v>
      </c>
      <c r="J145">
        <f t="shared" si="8"/>
        <v>97.9</v>
      </c>
      <c r="K145">
        <f t="shared" si="9"/>
        <v>96.8</v>
      </c>
      <c r="L145">
        <f t="shared" si="10"/>
        <v>59.5</v>
      </c>
      <c r="M145">
        <f t="shared" si="11"/>
        <v>81.88</v>
      </c>
    </row>
    <row r="146" spans="1:13" x14ac:dyDescent="0.45">
      <c r="A146">
        <v>145</v>
      </c>
      <c r="B146" t="s">
        <v>15</v>
      </c>
      <c r="C146">
        <v>1804</v>
      </c>
      <c r="D146">
        <v>50</v>
      </c>
      <c r="E146">
        <v>59</v>
      </c>
      <c r="F146">
        <v>17</v>
      </c>
      <c r="G146" t="s">
        <v>16</v>
      </c>
      <c r="H146" t="s">
        <v>14</v>
      </c>
      <c r="I146" t="s">
        <v>16</v>
      </c>
      <c r="J146">
        <f t="shared" si="8"/>
        <v>49.500000000000007</v>
      </c>
      <c r="K146">
        <f t="shared" si="9"/>
        <v>74.3</v>
      </c>
      <c r="L146">
        <f t="shared" si="10"/>
        <v>30</v>
      </c>
      <c r="M146">
        <f t="shared" si="11"/>
        <v>56.58</v>
      </c>
    </row>
    <row r="147" spans="1:13" x14ac:dyDescent="0.45">
      <c r="A147">
        <v>146</v>
      </c>
      <c r="B147" t="s">
        <v>13</v>
      </c>
      <c r="C147">
        <v>1402</v>
      </c>
      <c r="D147">
        <v>72</v>
      </c>
      <c r="E147">
        <v>49</v>
      </c>
      <c r="F147">
        <v>29</v>
      </c>
      <c r="G147" t="s">
        <v>14</v>
      </c>
      <c r="H147" t="s">
        <v>16</v>
      </c>
      <c r="I147" t="s">
        <v>14</v>
      </c>
      <c r="J147">
        <f t="shared" si="8"/>
        <v>72</v>
      </c>
      <c r="K147">
        <f t="shared" si="9"/>
        <v>85.1</v>
      </c>
      <c r="L147">
        <f t="shared" si="10"/>
        <v>46</v>
      </c>
      <c r="M147">
        <f t="shared" si="11"/>
        <v>69.459999999999994</v>
      </c>
    </row>
    <row r="148" spans="1:13" x14ac:dyDescent="0.45">
      <c r="A148">
        <v>147</v>
      </c>
      <c r="B148" t="s">
        <v>15</v>
      </c>
      <c r="C148">
        <v>246</v>
      </c>
      <c r="D148">
        <v>71</v>
      </c>
      <c r="E148">
        <v>40</v>
      </c>
      <c r="F148">
        <v>27</v>
      </c>
      <c r="G148" t="s">
        <v>14</v>
      </c>
      <c r="H148" t="s">
        <v>16</v>
      </c>
      <c r="I148" t="s">
        <v>16</v>
      </c>
      <c r="J148">
        <f t="shared" si="8"/>
        <v>63.9</v>
      </c>
      <c r="K148">
        <f t="shared" si="9"/>
        <v>64.3</v>
      </c>
      <c r="L148">
        <f t="shared" si="10"/>
        <v>45.5</v>
      </c>
      <c r="M148">
        <f t="shared" si="11"/>
        <v>56.78</v>
      </c>
    </row>
    <row r="149" spans="1:13" x14ac:dyDescent="0.45">
      <c r="A149">
        <v>148</v>
      </c>
      <c r="B149" t="s">
        <v>13</v>
      </c>
      <c r="C149">
        <v>439</v>
      </c>
      <c r="D149">
        <v>56</v>
      </c>
      <c r="E149">
        <v>30</v>
      </c>
      <c r="F149">
        <v>31</v>
      </c>
      <c r="G149" t="s">
        <v>14</v>
      </c>
      <c r="H149" t="s">
        <v>16</v>
      </c>
      <c r="I149" t="s">
        <v>14</v>
      </c>
      <c r="J149">
        <f t="shared" si="8"/>
        <v>56</v>
      </c>
      <c r="K149">
        <f t="shared" si="9"/>
        <v>67.900000000000006</v>
      </c>
      <c r="L149">
        <f t="shared" si="10"/>
        <v>38</v>
      </c>
      <c r="M149">
        <f t="shared" si="11"/>
        <v>55.940000000000005</v>
      </c>
    </row>
    <row r="150" spans="1:13" x14ac:dyDescent="0.45">
      <c r="A150">
        <v>149</v>
      </c>
      <c r="B150" t="s">
        <v>13</v>
      </c>
      <c r="C150">
        <v>784</v>
      </c>
      <c r="D150">
        <v>49</v>
      </c>
      <c r="E150">
        <v>31</v>
      </c>
      <c r="F150">
        <v>39</v>
      </c>
      <c r="G150" t="s">
        <v>16</v>
      </c>
      <c r="H150" t="s">
        <v>16</v>
      </c>
      <c r="I150" t="s">
        <v>16</v>
      </c>
      <c r="J150">
        <f t="shared" si="8"/>
        <v>49</v>
      </c>
      <c r="K150">
        <f t="shared" si="9"/>
        <v>66.099999999999994</v>
      </c>
      <c r="L150">
        <f t="shared" si="10"/>
        <v>24.5</v>
      </c>
      <c r="M150">
        <f t="shared" si="11"/>
        <v>49.459999999999994</v>
      </c>
    </row>
    <row r="151" spans="1:13" x14ac:dyDescent="0.45">
      <c r="A151">
        <v>150</v>
      </c>
      <c r="B151" t="s">
        <v>15</v>
      </c>
      <c r="C151">
        <v>449</v>
      </c>
      <c r="D151">
        <v>44</v>
      </c>
      <c r="E151">
        <v>41</v>
      </c>
      <c r="F151">
        <v>21</v>
      </c>
      <c r="G151" t="s">
        <v>14</v>
      </c>
      <c r="H151" t="s">
        <v>16</v>
      </c>
      <c r="I151" t="s">
        <v>16</v>
      </c>
      <c r="J151">
        <f t="shared" si="8"/>
        <v>39.6</v>
      </c>
      <c r="K151">
        <f t="shared" si="9"/>
        <v>59.9</v>
      </c>
      <c r="L151">
        <f t="shared" si="10"/>
        <v>32</v>
      </c>
      <c r="M151">
        <f t="shared" si="11"/>
        <v>48.739999999999995</v>
      </c>
    </row>
    <row r="152" spans="1:13" x14ac:dyDescent="0.45">
      <c r="A152">
        <v>151</v>
      </c>
      <c r="B152" t="s">
        <v>15</v>
      </c>
      <c r="C152">
        <v>1445</v>
      </c>
      <c r="D152">
        <v>48</v>
      </c>
      <c r="E152">
        <v>46</v>
      </c>
      <c r="F152">
        <v>28</v>
      </c>
      <c r="G152" t="s">
        <v>16</v>
      </c>
      <c r="H152" t="s">
        <v>14</v>
      </c>
      <c r="I152" t="s">
        <v>14</v>
      </c>
      <c r="J152">
        <f t="shared" si="8"/>
        <v>47.52000000000001</v>
      </c>
      <c r="K152">
        <f t="shared" si="9"/>
        <v>81.2</v>
      </c>
      <c r="L152">
        <f t="shared" si="10"/>
        <v>29</v>
      </c>
      <c r="M152">
        <f t="shared" si="11"/>
        <v>60.32</v>
      </c>
    </row>
    <row r="153" spans="1:13" x14ac:dyDescent="0.45">
      <c r="A153">
        <v>152</v>
      </c>
      <c r="B153" t="s">
        <v>17</v>
      </c>
      <c r="C153">
        <v>745</v>
      </c>
      <c r="D153">
        <v>50</v>
      </c>
      <c r="E153">
        <v>59</v>
      </c>
      <c r="F153">
        <v>15</v>
      </c>
      <c r="G153" t="s">
        <v>14</v>
      </c>
      <c r="H153" t="s">
        <v>14</v>
      </c>
      <c r="I153" t="s">
        <v>16</v>
      </c>
      <c r="J153">
        <f t="shared" si="8"/>
        <v>60.500000000000014</v>
      </c>
      <c r="K153">
        <f t="shared" si="9"/>
        <v>72.5</v>
      </c>
      <c r="L153">
        <f t="shared" si="10"/>
        <v>40</v>
      </c>
      <c r="M153">
        <f t="shared" si="11"/>
        <v>59.5</v>
      </c>
    </row>
    <row r="154" spans="1:13" x14ac:dyDescent="0.45">
      <c r="A154">
        <v>153</v>
      </c>
      <c r="B154" t="s">
        <v>17</v>
      </c>
      <c r="C154">
        <v>658</v>
      </c>
      <c r="D154">
        <v>52</v>
      </c>
      <c r="E154">
        <v>43</v>
      </c>
      <c r="F154">
        <v>29</v>
      </c>
      <c r="G154" t="s">
        <v>14</v>
      </c>
      <c r="H154" t="s">
        <v>16</v>
      </c>
      <c r="I154" t="s">
        <v>14</v>
      </c>
      <c r="J154">
        <f t="shared" si="8"/>
        <v>57.2</v>
      </c>
      <c r="K154">
        <f t="shared" si="9"/>
        <v>79.099999999999994</v>
      </c>
      <c r="L154">
        <f t="shared" si="10"/>
        <v>36</v>
      </c>
      <c r="M154">
        <f t="shared" si="11"/>
        <v>61.859999999999992</v>
      </c>
    </row>
    <row r="155" spans="1:13" x14ac:dyDescent="0.45">
      <c r="A155">
        <v>154</v>
      </c>
      <c r="B155" t="s">
        <v>15</v>
      </c>
      <c r="C155">
        <v>550</v>
      </c>
      <c r="D155">
        <v>64</v>
      </c>
      <c r="E155">
        <v>35</v>
      </c>
      <c r="F155">
        <v>29</v>
      </c>
      <c r="G155" t="s">
        <v>14</v>
      </c>
      <c r="H155" t="s">
        <v>16</v>
      </c>
      <c r="I155" t="s">
        <v>16</v>
      </c>
      <c r="J155">
        <f t="shared" si="8"/>
        <v>57.6</v>
      </c>
      <c r="K155">
        <f t="shared" si="9"/>
        <v>61.1</v>
      </c>
      <c r="L155">
        <f t="shared" si="10"/>
        <v>42</v>
      </c>
      <c r="M155">
        <f t="shared" si="11"/>
        <v>53.459999999999994</v>
      </c>
    </row>
    <row r="156" spans="1:13" x14ac:dyDescent="0.45">
      <c r="A156">
        <v>155</v>
      </c>
      <c r="B156" t="s">
        <v>13</v>
      </c>
      <c r="C156">
        <v>246</v>
      </c>
      <c r="D156">
        <v>69</v>
      </c>
      <c r="E156">
        <v>50</v>
      </c>
      <c r="F156">
        <v>24</v>
      </c>
      <c r="G156" t="s">
        <v>14</v>
      </c>
      <c r="H156" t="s">
        <v>16</v>
      </c>
      <c r="I156" t="s">
        <v>16</v>
      </c>
      <c r="J156">
        <f t="shared" si="8"/>
        <v>69</v>
      </c>
      <c r="K156">
        <f t="shared" si="9"/>
        <v>71.599999999999994</v>
      </c>
      <c r="L156">
        <f t="shared" si="10"/>
        <v>44.5</v>
      </c>
      <c r="M156">
        <f t="shared" si="11"/>
        <v>60.759999999999991</v>
      </c>
    </row>
    <row r="157" spans="1:13" x14ac:dyDescent="0.45">
      <c r="A157">
        <v>156</v>
      </c>
      <c r="B157" t="s">
        <v>15</v>
      </c>
      <c r="C157">
        <v>1635</v>
      </c>
      <c r="D157">
        <v>65</v>
      </c>
      <c r="E157">
        <v>24</v>
      </c>
      <c r="F157">
        <v>19</v>
      </c>
      <c r="G157" t="s">
        <v>14</v>
      </c>
      <c r="H157" t="s">
        <v>14</v>
      </c>
      <c r="I157" t="s">
        <v>14</v>
      </c>
      <c r="J157">
        <f t="shared" si="8"/>
        <v>64.350000000000009</v>
      </c>
      <c r="K157">
        <f t="shared" si="9"/>
        <v>51.1</v>
      </c>
      <c r="L157">
        <f t="shared" si="10"/>
        <v>47.5</v>
      </c>
      <c r="M157">
        <f t="shared" si="11"/>
        <v>49.66</v>
      </c>
    </row>
    <row r="158" spans="1:13" x14ac:dyDescent="0.45">
      <c r="A158">
        <v>157</v>
      </c>
      <c r="B158" t="s">
        <v>15</v>
      </c>
      <c r="C158">
        <v>596</v>
      </c>
      <c r="D158">
        <v>52</v>
      </c>
      <c r="E158">
        <v>46</v>
      </c>
      <c r="F158">
        <v>37</v>
      </c>
      <c r="G158" t="s">
        <v>14</v>
      </c>
      <c r="H158" t="s">
        <v>14</v>
      </c>
      <c r="I158" t="s">
        <v>14</v>
      </c>
      <c r="J158">
        <f t="shared" si="8"/>
        <v>51.480000000000011</v>
      </c>
      <c r="K158">
        <f t="shared" si="9"/>
        <v>89.3</v>
      </c>
      <c r="L158">
        <f t="shared" si="10"/>
        <v>41</v>
      </c>
      <c r="M158">
        <f t="shared" si="11"/>
        <v>69.98</v>
      </c>
    </row>
    <row r="159" spans="1:13" x14ac:dyDescent="0.45">
      <c r="A159">
        <v>158</v>
      </c>
      <c r="B159" t="s">
        <v>17</v>
      </c>
      <c r="C159">
        <v>1669</v>
      </c>
      <c r="D159">
        <v>70</v>
      </c>
      <c r="E159">
        <v>52</v>
      </c>
      <c r="F159">
        <v>36</v>
      </c>
      <c r="G159" t="s">
        <v>14</v>
      </c>
      <c r="H159" t="s">
        <v>16</v>
      </c>
      <c r="I159" t="s">
        <v>14</v>
      </c>
      <c r="J159">
        <f t="shared" si="8"/>
        <v>77</v>
      </c>
      <c r="K159">
        <f t="shared" si="9"/>
        <v>94.4</v>
      </c>
      <c r="L159">
        <f t="shared" si="10"/>
        <v>45</v>
      </c>
      <c r="M159">
        <f t="shared" si="11"/>
        <v>74.64</v>
      </c>
    </row>
    <row r="160" spans="1:13" x14ac:dyDescent="0.45">
      <c r="A160">
        <v>159</v>
      </c>
      <c r="B160" t="s">
        <v>15</v>
      </c>
      <c r="C160">
        <v>695</v>
      </c>
      <c r="D160">
        <v>58</v>
      </c>
      <c r="E160">
        <v>52</v>
      </c>
      <c r="F160">
        <v>19</v>
      </c>
      <c r="G160" t="s">
        <v>16</v>
      </c>
      <c r="H160" t="s">
        <v>16</v>
      </c>
      <c r="I160" t="s">
        <v>16</v>
      </c>
      <c r="J160">
        <f t="shared" si="8"/>
        <v>52.2</v>
      </c>
      <c r="K160">
        <f t="shared" si="9"/>
        <v>69.099999999999994</v>
      </c>
      <c r="L160">
        <f t="shared" si="10"/>
        <v>29</v>
      </c>
      <c r="M160">
        <f t="shared" si="11"/>
        <v>53.059999999999995</v>
      </c>
    </row>
    <row r="161" spans="1:13" x14ac:dyDescent="0.45">
      <c r="A161">
        <v>160</v>
      </c>
      <c r="B161" t="s">
        <v>13</v>
      </c>
      <c r="C161">
        <v>1668</v>
      </c>
      <c r="D161">
        <v>59</v>
      </c>
      <c r="E161">
        <v>32</v>
      </c>
      <c r="F161">
        <v>25</v>
      </c>
      <c r="G161" t="s">
        <v>14</v>
      </c>
      <c r="H161" t="s">
        <v>16</v>
      </c>
      <c r="I161" t="s">
        <v>16</v>
      </c>
      <c r="J161">
        <f t="shared" si="8"/>
        <v>59</v>
      </c>
      <c r="K161">
        <f t="shared" si="9"/>
        <v>54.5</v>
      </c>
      <c r="L161">
        <f t="shared" si="10"/>
        <v>39.5</v>
      </c>
      <c r="M161">
        <f t="shared" si="11"/>
        <v>48.5</v>
      </c>
    </row>
    <row r="162" spans="1:13" x14ac:dyDescent="0.45">
      <c r="A162">
        <v>161</v>
      </c>
      <c r="B162" t="s">
        <v>15</v>
      </c>
      <c r="C162">
        <v>986</v>
      </c>
      <c r="D162">
        <v>69</v>
      </c>
      <c r="E162">
        <v>52</v>
      </c>
      <c r="F162">
        <v>24</v>
      </c>
      <c r="G162" t="s">
        <v>16</v>
      </c>
      <c r="H162" t="s">
        <v>14</v>
      </c>
      <c r="I162" t="s">
        <v>16</v>
      </c>
      <c r="J162">
        <f t="shared" si="8"/>
        <v>68.31</v>
      </c>
      <c r="K162">
        <f t="shared" si="9"/>
        <v>73.599999999999994</v>
      </c>
      <c r="L162">
        <f t="shared" si="10"/>
        <v>39.5</v>
      </c>
      <c r="M162">
        <f t="shared" si="11"/>
        <v>59.959999999999994</v>
      </c>
    </row>
    <row r="163" spans="1:13" x14ac:dyDescent="0.45">
      <c r="A163">
        <v>162</v>
      </c>
      <c r="B163" t="s">
        <v>17</v>
      </c>
      <c r="C163">
        <v>1354</v>
      </c>
      <c r="D163">
        <v>89</v>
      </c>
      <c r="E163">
        <v>46</v>
      </c>
      <c r="F163">
        <v>36</v>
      </c>
      <c r="G163" t="s">
        <v>16</v>
      </c>
      <c r="H163" t="s">
        <v>14</v>
      </c>
      <c r="I163" t="s">
        <v>14</v>
      </c>
      <c r="J163">
        <f t="shared" si="8"/>
        <v>107.69000000000001</v>
      </c>
      <c r="K163">
        <f t="shared" si="9"/>
        <v>88.4</v>
      </c>
      <c r="L163">
        <f t="shared" si="10"/>
        <v>49.5</v>
      </c>
      <c r="M163">
        <f t="shared" si="11"/>
        <v>72.84</v>
      </c>
    </row>
    <row r="164" spans="1:13" x14ac:dyDescent="0.45">
      <c r="A164">
        <v>163</v>
      </c>
      <c r="B164" t="s">
        <v>17</v>
      </c>
      <c r="C164">
        <v>500</v>
      </c>
      <c r="D164">
        <v>44</v>
      </c>
      <c r="E164">
        <v>58</v>
      </c>
      <c r="F164">
        <v>36</v>
      </c>
      <c r="G164" t="s">
        <v>16</v>
      </c>
      <c r="H164" t="s">
        <v>16</v>
      </c>
      <c r="I164" t="s">
        <v>16</v>
      </c>
      <c r="J164">
        <f t="shared" si="8"/>
        <v>48.400000000000006</v>
      </c>
      <c r="K164">
        <f t="shared" si="9"/>
        <v>90.4</v>
      </c>
      <c r="L164">
        <f t="shared" si="10"/>
        <v>22</v>
      </c>
      <c r="M164">
        <f t="shared" si="11"/>
        <v>63.040000000000006</v>
      </c>
    </row>
    <row r="165" spans="1:13" x14ac:dyDescent="0.45">
      <c r="A165">
        <v>164</v>
      </c>
      <c r="B165" t="s">
        <v>15</v>
      </c>
      <c r="C165">
        <v>1847</v>
      </c>
      <c r="D165">
        <v>76</v>
      </c>
      <c r="E165">
        <v>42</v>
      </c>
      <c r="F165">
        <v>34</v>
      </c>
      <c r="G165" t="s">
        <v>14</v>
      </c>
      <c r="H165" t="s">
        <v>16</v>
      </c>
      <c r="I165" t="s">
        <v>14</v>
      </c>
      <c r="J165">
        <f t="shared" si="8"/>
        <v>68.400000000000006</v>
      </c>
      <c r="K165">
        <f t="shared" si="9"/>
        <v>82.6</v>
      </c>
      <c r="L165">
        <f t="shared" si="10"/>
        <v>48</v>
      </c>
      <c r="M165">
        <f t="shared" si="11"/>
        <v>68.759999999999991</v>
      </c>
    </row>
    <row r="166" spans="1:13" x14ac:dyDescent="0.45">
      <c r="A166">
        <v>165</v>
      </c>
      <c r="B166" t="s">
        <v>13</v>
      </c>
      <c r="C166">
        <v>1630</v>
      </c>
      <c r="D166">
        <v>88</v>
      </c>
      <c r="E166">
        <v>58</v>
      </c>
      <c r="F166">
        <v>18</v>
      </c>
      <c r="G166" t="s">
        <v>14</v>
      </c>
      <c r="H166" t="s">
        <v>16</v>
      </c>
      <c r="I166" t="s">
        <v>16</v>
      </c>
      <c r="J166">
        <f t="shared" si="8"/>
        <v>88</v>
      </c>
      <c r="K166">
        <f t="shared" si="9"/>
        <v>74.2</v>
      </c>
      <c r="L166">
        <f t="shared" si="10"/>
        <v>54</v>
      </c>
      <c r="M166">
        <f t="shared" si="11"/>
        <v>66.12</v>
      </c>
    </row>
    <row r="167" spans="1:13" x14ac:dyDescent="0.45">
      <c r="A167">
        <v>166</v>
      </c>
      <c r="B167" t="s">
        <v>17</v>
      </c>
      <c r="C167">
        <v>1117</v>
      </c>
      <c r="D167">
        <v>90</v>
      </c>
      <c r="E167">
        <v>44</v>
      </c>
      <c r="F167">
        <v>31</v>
      </c>
      <c r="G167" t="s">
        <v>16</v>
      </c>
      <c r="H167" t="s">
        <v>14</v>
      </c>
      <c r="I167" t="s">
        <v>14</v>
      </c>
      <c r="J167">
        <f t="shared" si="8"/>
        <v>108.90000000000002</v>
      </c>
      <c r="K167">
        <f t="shared" si="9"/>
        <v>81.900000000000006</v>
      </c>
      <c r="L167">
        <f t="shared" si="10"/>
        <v>50</v>
      </c>
      <c r="M167">
        <f t="shared" si="11"/>
        <v>69.14</v>
      </c>
    </row>
    <row r="168" spans="1:13" x14ac:dyDescent="0.45">
      <c r="A168">
        <v>167</v>
      </c>
      <c r="B168" t="s">
        <v>17</v>
      </c>
      <c r="C168">
        <v>1096</v>
      </c>
      <c r="D168">
        <v>76</v>
      </c>
      <c r="E168">
        <v>59</v>
      </c>
      <c r="F168">
        <v>21</v>
      </c>
      <c r="G168" t="s">
        <v>14</v>
      </c>
      <c r="H168" t="s">
        <v>14</v>
      </c>
      <c r="I168" t="s">
        <v>14</v>
      </c>
      <c r="J168">
        <f t="shared" si="8"/>
        <v>91.960000000000022</v>
      </c>
      <c r="K168">
        <f t="shared" si="9"/>
        <v>87.9</v>
      </c>
      <c r="L168">
        <f t="shared" si="10"/>
        <v>53</v>
      </c>
      <c r="M168">
        <f t="shared" si="11"/>
        <v>73.94</v>
      </c>
    </row>
    <row r="169" spans="1:13" x14ac:dyDescent="0.45">
      <c r="A169">
        <v>168</v>
      </c>
      <c r="B169" t="s">
        <v>13</v>
      </c>
      <c r="C169">
        <v>550</v>
      </c>
      <c r="D169">
        <v>45</v>
      </c>
      <c r="E169">
        <v>28</v>
      </c>
      <c r="F169">
        <v>31</v>
      </c>
      <c r="G169" t="s">
        <v>14</v>
      </c>
      <c r="H169" t="s">
        <v>14</v>
      </c>
      <c r="I169" t="s">
        <v>14</v>
      </c>
      <c r="J169">
        <f t="shared" si="8"/>
        <v>49.500000000000007</v>
      </c>
      <c r="K169">
        <f t="shared" si="9"/>
        <v>65.900000000000006</v>
      </c>
      <c r="L169">
        <f t="shared" si="10"/>
        <v>37.5</v>
      </c>
      <c r="M169">
        <f t="shared" si="11"/>
        <v>54.54</v>
      </c>
    </row>
    <row r="170" spans="1:13" x14ac:dyDescent="0.45">
      <c r="A170">
        <v>169</v>
      </c>
      <c r="B170" t="s">
        <v>17</v>
      </c>
      <c r="C170">
        <v>1935</v>
      </c>
      <c r="D170">
        <v>76</v>
      </c>
      <c r="E170">
        <v>52</v>
      </c>
      <c r="F170">
        <v>29</v>
      </c>
      <c r="G170" t="s">
        <v>16</v>
      </c>
      <c r="H170" t="s">
        <v>14</v>
      </c>
      <c r="I170" t="s">
        <v>14</v>
      </c>
      <c r="J170">
        <f t="shared" si="8"/>
        <v>91.960000000000022</v>
      </c>
      <c r="K170">
        <f t="shared" si="9"/>
        <v>88.1</v>
      </c>
      <c r="L170">
        <f t="shared" si="10"/>
        <v>43</v>
      </c>
      <c r="M170">
        <f t="shared" si="11"/>
        <v>70.059999999999988</v>
      </c>
    </row>
    <row r="171" spans="1:13" x14ac:dyDescent="0.45">
      <c r="A171">
        <v>170</v>
      </c>
      <c r="B171" t="s">
        <v>15</v>
      </c>
      <c r="C171">
        <v>1116</v>
      </c>
      <c r="D171">
        <v>64</v>
      </c>
      <c r="E171">
        <v>53</v>
      </c>
      <c r="F171">
        <v>37</v>
      </c>
      <c r="G171" t="s">
        <v>16</v>
      </c>
      <c r="H171" t="s">
        <v>14</v>
      </c>
      <c r="I171" t="s">
        <v>14</v>
      </c>
      <c r="J171">
        <f t="shared" si="8"/>
        <v>63.360000000000007</v>
      </c>
      <c r="K171">
        <f t="shared" si="9"/>
        <v>96.3</v>
      </c>
      <c r="L171">
        <f t="shared" si="10"/>
        <v>37</v>
      </c>
      <c r="M171">
        <f t="shared" si="11"/>
        <v>72.58</v>
      </c>
    </row>
    <row r="172" spans="1:13" x14ac:dyDescent="0.45">
      <c r="A172">
        <v>171</v>
      </c>
      <c r="B172" t="s">
        <v>13</v>
      </c>
      <c r="C172">
        <v>1775</v>
      </c>
      <c r="D172">
        <v>72</v>
      </c>
      <c r="E172">
        <v>40</v>
      </c>
      <c r="F172">
        <v>16</v>
      </c>
      <c r="G172" t="s">
        <v>16</v>
      </c>
      <c r="H172" t="s">
        <v>16</v>
      </c>
      <c r="I172" t="s">
        <v>14</v>
      </c>
      <c r="J172">
        <f t="shared" si="8"/>
        <v>72</v>
      </c>
      <c r="K172">
        <f t="shared" si="9"/>
        <v>64.400000000000006</v>
      </c>
      <c r="L172">
        <f t="shared" si="10"/>
        <v>36</v>
      </c>
      <c r="M172">
        <f t="shared" si="11"/>
        <v>53.04</v>
      </c>
    </row>
    <row r="173" spans="1:13" x14ac:dyDescent="0.45">
      <c r="A173">
        <v>172</v>
      </c>
      <c r="B173" t="s">
        <v>17</v>
      </c>
      <c r="C173">
        <v>482</v>
      </c>
      <c r="D173">
        <v>87</v>
      </c>
      <c r="E173">
        <v>55</v>
      </c>
      <c r="F173">
        <v>37</v>
      </c>
      <c r="G173" t="s">
        <v>14</v>
      </c>
      <c r="H173" t="s">
        <v>16</v>
      </c>
      <c r="I173" t="s">
        <v>16</v>
      </c>
      <c r="J173">
        <f t="shared" si="8"/>
        <v>95.7</v>
      </c>
      <c r="K173">
        <f t="shared" si="9"/>
        <v>88.3</v>
      </c>
      <c r="L173">
        <f t="shared" si="10"/>
        <v>53.5</v>
      </c>
      <c r="M173">
        <f t="shared" si="11"/>
        <v>74.38</v>
      </c>
    </row>
    <row r="174" spans="1:13" x14ac:dyDescent="0.45">
      <c r="A174">
        <v>173</v>
      </c>
      <c r="B174" t="s">
        <v>13</v>
      </c>
      <c r="C174">
        <v>476</v>
      </c>
      <c r="D174">
        <v>87</v>
      </c>
      <c r="E174">
        <v>54</v>
      </c>
      <c r="F174">
        <v>26</v>
      </c>
      <c r="G174" t="s">
        <v>14</v>
      </c>
      <c r="H174" t="s">
        <v>14</v>
      </c>
      <c r="I174" t="s">
        <v>16</v>
      </c>
      <c r="J174">
        <f t="shared" si="8"/>
        <v>95.7</v>
      </c>
      <c r="K174">
        <f t="shared" si="9"/>
        <v>77.400000000000006</v>
      </c>
      <c r="L174">
        <f t="shared" si="10"/>
        <v>58.5</v>
      </c>
      <c r="M174">
        <f t="shared" si="11"/>
        <v>69.84</v>
      </c>
    </row>
    <row r="175" spans="1:13" x14ac:dyDescent="0.45">
      <c r="A175">
        <v>174</v>
      </c>
      <c r="B175" t="s">
        <v>13</v>
      </c>
      <c r="C175">
        <v>620</v>
      </c>
      <c r="D175">
        <v>86</v>
      </c>
      <c r="E175">
        <v>47</v>
      </c>
      <c r="F175">
        <v>39</v>
      </c>
      <c r="G175" t="s">
        <v>14</v>
      </c>
      <c r="H175" t="s">
        <v>14</v>
      </c>
      <c r="I175" t="s">
        <v>16</v>
      </c>
      <c r="J175">
        <f t="shared" si="8"/>
        <v>94.600000000000009</v>
      </c>
      <c r="K175">
        <f t="shared" si="9"/>
        <v>82.1</v>
      </c>
      <c r="L175">
        <f t="shared" si="10"/>
        <v>58</v>
      </c>
      <c r="M175">
        <f t="shared" si="11"/>
        <v>72.460000000000008</v>
      </c>
    </row>
    <row r="176" spans="1:13" x14ac:dyDescent="0.45">
      <c r="A176">
        <v>175</v>
      </c>
      <c r="B176" t="s">
        <v>15</v>
      </c>
      <c r="C176">
        <v>274</v>
      </c>
      <c r="D176">
        <v>85</v>
      </c>
      <c r="E176">
        <v>28</v>
      </c>
      <c r="F176">
        <v>39</v>
      </c>
      <c r="G176" t="s">
        <v>14</v>
      </c>
      <c r="H176" t="s">
        <v>14</v>
      </c>
      <c r="I176" t="s">
        <v>16</v>
      </c>
      <c r="J176">
        <f t="shared" si="8"/>
        <v>84.15</v>
      </c>
      <c r="K176">
        <f t="shared" si="9"/>
        <v>63.1</v>
      </c>
      <c r="L176">
        <f t="shared" si="10"/>
        <v>57.5</v>
      </c>
      <c r="M176">
        <f t="shared" si="11"/>
        <v>60.86</v>
      </c>
    </row>
    <row r="177" spans="1:13" x14ac:dyDescent="0.45">
      <c r="A177">
        <v>176</v>
      </c>
      <c r="B177" t="s">
        <v>15</v>
      </c>
      <c r="C177">
        <v>1054</v>
      </c>
      <c r="D177">
        <v>84</v>
      </c>
      <c r="E177">
        <v>28</v>
      </c>
      <c r="F177">
        <v>32</v>
      </c>
      <c r="G177" t="s">
        <v>14</v>
      </c>
      <c r="H177" t="s">
        <v>14</v>
      </c>
      <c r="I177" t="s">
        <v>14</v>
      </c>
      <c r="J177">
        <f t="shared" si="8"/>
        <v>83.160000000000011</v>
      </c>
      <c r="K177">
        <f t="shared" si="9"/>
        <v>66.8</v>
      </c>
      <c r="L177">
        <f t="shared" si="10"/>
        <v>57</v>
      </c>
      <c r="M177">
        <f t="shared" si="11"/>
        <v>62.879999999999995</v>
      </c>
    </row>
    <row r="178" spans="1:13" x14ac:dyDescent="0.45">
      <c r="A178">
        <v>177</v>
      </c>
      <c r="B178" t="s">
        <v>13</v>
      </c>
      <c r="C178">
        <v>910</v>
      </c>
      <c r="D178">
        <v>88</v>
      </c>
      <c r="E178">
        <v>39</v>
      </c>
      <c r="F178">
        <v>32</v>
      </c>
      <c r="G178" t="s">
        <v>16</v>
      </c>
      <c r="H178" t="s">
        <v>16</v>
      </c>
      <c r="I178" t="s">
        <v>16</v>
      </c>
      <c r="J178">
        <f t="shared" si="8"/>
        <v>88</v>
      </c>
      <c r="K178">
        <f t="shared" si="9"/>
        <v>67.8</v>
      </c>
      <c r="L178">
        <f t="shared" si="10"/>
        <v>44</v>
      </c>
      <c r="M178">
        <f t="shared" si="11"/>
        <v>58.28</v>
      </c>
    </row>
    <row r="179" spans="1:13" x14ac:dyDescent="0.45">
      <c r="A179">
        <v>178</v>
      </c>
      <c r="B179" t="s">
        <v>15</v>
      </c>
      <c r="C179">
        <v>1626</v>
      </c>
      <c r="D179">
        <v>57</v>
      </c>
      <c r="E179">
        <v>51</v>
      </c>
      <c r="F179">
        <v>17</v>
      </c>
      <c r="G179" t="s">
        <v>14</v>
      </c>
      <c r="H179" t="s">
        <v>14</v>
      </c>
      <c r="I179" t="s">
        <v>16</v>
      </c>
      <c r="J179">
        <f t="shared" si="8"/>
        <v>56.430000000000007</v>
      </c>
      <c r="K179">
        <f t="shared" si="9"/>
        <v>66.3</v>
      </c>
      <c r="L179">
        <f t="shared" si="10"/>
        <v>43.5</v>
      </c>
      <c r="M179">
        <f t="shared" si="11"/>
        <v>57.179999999999993</v>
      </c>
    </row>
    <row r="180" spans="1:13" x14ac:dyDescent="0.45">
      <c r="A180">
        <v>179</v>
      </c>
      <c r="B180" t="s">
        <v>15</v>
      </c>
      <c r="C180">
        <v>1143</v>
      </c>
      <c r="D180">
        <v>53</v>
      </c>
      <c r="E180">
        <v>32</v>
      </c>
      <c r="F180">
        <v>20</v>
      </c>
      <c r="G180" t="s">
        <v>16</v>
      </c>
      <c r="H180" t="s">
        <v>14</v>
      </c>
      <c r="I180" t="s">
        <v>16</v>
      </c>
      <c r="J180">
        <f t="shared" si="8"/>
        <v>52.470000000000006</v>
      </c>
      <c r="K180">
        <f t="shared" si="9"/>
        <v>50</v>
      </c>
      <c r="L180">
        <f t="shared" si="10"/>
        <v>31.5</v>
      </c>
      <c r="M180">
        <f t="shared" si="11"/>
        <v>42.6</v>
      </c>
    </row>
    <row r="181" spans="1:13" x14ac:dyDescent="0.45">
      <c r="A181">
        <v>180</v>
      </c>
      <c r="B181" t="s">
        <v>15</v>
      </c>
      <c r="C181">
        <v>778</v>
      </c>
      <c r="D181">
        <v>44</v>
      </c>
      <c r="E181">
        <v>23</v>
      </c>
      <c r="F181">
        <v>28</v>
      </c>
      <c r="G181" t="s">
        <v>14</v>
      </c>
      <c r="H181" t="s">
        <v>14</v>
      </c>
      <c r="I181" t="s">
        <v>16</v>
      </c>
      <c r="J181">
        <f t="shared" si="8"/>
        <v>43.56</v>
      </c>
      <c r="K181">
        <f t="shared" si="9"/>
        <v>48.2</v>
      </c>
      <c r="L181">
        <f t="shared" si="10"/>
        <v>37</v>
      </c>
      <c r="M181">
        <f t="shared" si="11"/>
        <v>43.72</v>
      </c>
    </row>
    <row r="182" spans="1:13" x14ac:dyDescent="0.45">
      <c r="A182">
        <v>181</v>
      </c>
      <c r="B182" t="s">
        <v>15</v>
      </c>
      <c r="C182">
        <v>957</v>
      </c>
      <c r="D182">
        <v>50</v>
      </c>
      <c r="E182">
        <v>33</v>
      </c>
      <c r="F182">
        <v>29</v>
      </c>
      <c r="G182" t="s">
        <v>16</v>
      </c>
      <c r="H182" t="s">
        <v>14</v>
      </c>
      <c r="I182" t="s">
        <v>14</v>
      </c>
      <c r="J182">
        <f t="shared" si="8"/>
        <v>49.500000000000007</v>
      </c>
      <c r="K182">
        <f t="shared" si="9"/>
        <v>69.099999999999994</v>
      </c>
      <c r="L182">
        <f t="shared" si="10"/>
        <v>30</v>
      </c>
      <c r="M182">
        <f t="shared" si="11"/>
        <v>53.459999999999994</v>
      </c>
    </row>
    <row r="183" spans="1:13" x14ac:dyDescent="0.45">
      <c r="A183">
        <v>182</v>
      </c>
      <c r="B183" t="s">
        <v>13</v>
      </c>
      <c r="C183">
        <v>1965</v>
      </c>
      <c r="D183">
        <v>50</v>
      </c>
      <c r="E183">
        <v>41</v>
      </c>
      <c r="F183">
        <v>28</v>
      </c>
      <c r="G183" t="s">
        <v>16</v>
      </c>
      <c r="H183" t="s">
        <v>16</v>
      </c>
      <c r="I183" t="s">
        <v>16</v>
      </c>
      <c r="J183">
        <f t="shared" si="8"/>
        <v>50</v>
      </c>
      <c r="K183">
        <f t="shared" si="9"/>
        <v>66.2</v>
      </c>
      <c r="L183">
        <f t="shared" si="10"/>
        <v>25</v>
      </c>
      <c r="M183">
        <f t="shared" si="11"/>
        <v>49.72</v>
      </c>
    </row>
    <row r="184" spans="1:13" x14ac:dyDescent="0.45">
      <c r="A184">
        <v>183</v>
      </c>
      <c r="B184" t="s">
        <v>15</v>
      </c>
      <c r="C184">
        <v>1763</v>
      </c>
      <c r="D184">
        <v>74</v>
      </c>
      <c r="E184">
        <v>25</v>
      </c>
      <c r="F184">
        <v>27</v>
      </c>
      <c r="G184" t="s">
        <v>16</v>
      </c>
      <c r="H184" t="s">
        <v>16</v>
      </c>
      <c r="I184" t="s">
        <v>16</v>
      </c>
      <c r="J184">
        <f t="shared" si="8"/>
        <v>66.600000000000009</v>
      </c>
      <c r="K184">
        <f t="shared" si="9"/>
        <v>49.3</v>
      </c>
      <c r="L184">
        <f t="shared" si="10"/>
        <v>37</v>
      </c>
      <c r="M184">
        <f t="shared" si="11"/>
        <v>44.379999999999995</v>
      </c>
    </row>
    <row r="185" spans="1:13" x14ac:dyDescent="0.45">
      <c r="A185">
        <v>184</v>
      </c>
      <c r="B185" t="s">
        <v>13</v>
      </c>
      <c r="C185">
        <v>1698</v>
      </c>
      <c r="D185">
        <v>92</v>
      </c>
      <c r="E185">
        <v>60</v>
      </c>
      <c r="F185">
        <v>32</v>
      </c>
      <c r="G185" t="s">
        <v>14</v>
      </c>
      <c r="H185" t="s">
        <v>14</v>
      </c>
      <c r="I185" t="s">
        <v>16</v>
      </c>
      <c r="J185">
        <f t="shared" si="8"/>
        <v>101.2</v>
      </c>
      <c r="K185">
        <f t="shared" si="9"/>
        <v>88.8</v>
      </c>
      <c r="L185">
        <f t="shared" si="10"/>
        <v>61</v>
      </c>
      <c r="M185">
        <f t="shared" si="11"/>
        <v>77.679999999999993</v>
      </c>
    </row>
    <row r="186" spans="1:13" x14ac:dyDescent="0.45">
      <c r="A186">
        <v>185</v>
      </c>
      <c r="B186" t="s">
        <v>17</v>
      </c>
      <c r="C186">
        <v>201</v>
      </c>
      <c r="D186">
        <v>94</v>
      </c>
      <c r="E186">
        <v>32</v>
      </c>
      <c r="F186">
        <v>29</v>
      </c>
      <c r="G186" t="s">
        <v>14</v>
      </c>
      <c r="H186" t="s">
        <v>14</v>
      </c>
      <c r="I186" t="s">
        <v>16</v>
      </c>
      <c r="J186">
        <f t="shared" si="8"/>
        <v>113.74000000000001</v>
      </c>
      <c r="K186">
        <f t="shared" si="9"/>
        <v>58.1</v>
      </c>
      <c r="L186">
        <f t="shared" si="10"/>
        <v>62</v>
      </c>
      <c r="M186">
        <f t="shared" si="11"/>
        <v>59.66</v>
      </c>
    </row>
    <row r="187" spans="1:13" x14ac:dyDescent="0.45">
      <c r="A187">
        <v>186</v>
      </c>
      <c r="B187" t="s">
        <v>17</v>
      </c>
      <c r="C187">
        <v>955</v>
      </c>
      <c r="D187">
        <v>49</v>
      </c>
      <c r="E187">
        <v>32</v>
      </c>
      <c r="F187">
        <v>16</v>
      </c>
      <c r="G187" t="s">
        <v>14</v>
      </c>
      <c r="H187" t="s">
        <v>14</v>
      </c>
      <c r="I187" t="s">
        <v>14</v>
      </c>
      <c r="J187">
        <f t="shared" si="8"/>
        <v>59.290000000000013</v>
      </c>
      <c r="K187">
        <f t="shared" si="9"/>
        <v>56.4</v>
      </c>
      <c r="L187">
        <f t="shared" si="10"/>
        <v>39.5</v>
      </c>
      <c r="M187">
        <f t="shared" si="11"/>
        <v>49.64</v>
      </c>
    </row>
    <row r="188" spans="1:13" x14ac:dyDescent="0.45">
      <c r="A188">
        <v>187</v>
      </c>
      <c r="B188" t="s">
        <v>17</v>
      </c>
      <c r="C188">
        <v>1836</v>
      </c>
      <c r="D188">
        <v>82</v>
      </c>
      <c r="E188">
        <v>47</v>
      </c>
      <c r="F188">
        <v>15</v>
      </c>
      <c r="G188" t="s">
        <v>14</v>
      </c>
      <c r="H188" t="s">
        <v>16</v>
      </c>
      <c r="I188" t="s">
        <v>16</v>
      </c>
      <c r="J188">
        <f t="shared" si="8"/>
        <v>90.2</v>
      </c>
      <c r="K188">
        <f t="shared" si="9"/>
        <v>60.5</v>
      </c>
      <c r="L188">
        <f t="shared" si="10"/>
        <v>51</v>
      </c>
      <c r="M188">
        <f t="shared" si="11"/>
        <v>56.7</v>
      </c>
    </row>
    <row r="189" spans="1:13" x14ac:dyDescent="0.45">
      <c r="A189">
        <v>188</v>
      </c>
      <c r="B189" t="s">
        <v>15</v>
      </c>
      <c r="C189">
        <v>628</v>
      </c>
      <c r="D189">
        <v>68</v>
      </c>
      <c r="E189">
        <v>32</v>
      </c>
      <c r="F189">
        <v>19</v>
      </c>
      <c r="G189" t="s">
        <v>14</v>
      </c>
      <c r="H189" t="s">
        <v>16</v>
      </c>
      <c r="I189" t="s">
        <v>16</v>
      </c>
      <c r="J189">
        <f t="shared" si="8"/>
        <v>61.2</v>
      </c>
      <c r="K189">
        <f t="shared" si="9"/>
        <v>49.1</v>
      </c>
      <c r="L189">
        <f t="shared" si="10"/>
        <v>44</v>
      </c>
      <c r="M189">
        <f t="shared" si="11"/>
        <v>47.06</v>
      </c>
    </row>
    <row r="190" spans="1:13" x14ac:dyDescent="0.45">
      <c r="A190">
        <v>189</v>
      </c>
      <c r="B190" t="s">
        <v>15</v>
      </c>
      <c r="C190">
        <v>1122</v>
      </c>
      <c r="D190">
        <v>43</v>
      </c>
      <c r="E190">
        <v>48</v>
      </c>
      <c r="F190">
        <v>19</v>
      </c>
      <c r="G190" t="s">
        <v>14</v>
      </c>
      <c r="H190" t="s">
        <v>16</v>
      </c>
      <c r="I190" t="s">
        <v>14</v>
      </c>
      <c r="J190">
        <f t="shared" si="8"/>
        <v>38.700000000000003</v>
      </c>
      <c r="K190">
        <f t="shared" si="9"/>
        <v>75.099999999999994</v>
      </c>
      <c r="L190">
        <f t="shared" si="10"/>
        <v>31.5</v>
      </c>
      <c r="M190">
        <f t="shared" si="11"/>
        <v>57.66</v>
      </c>
    </row>
    <row r="191" spans="1:13" x14ac:dyDescent="0.45">
      <c r="A191">
        <v>190</v>
      </c>
      <c r="B191" t="s">
        <v>17</v>
      </c>
      <c r="C191">
        <v>220</v>
      </c>
      <c r="D191">
        <v>74</v>
      </c>
      <c r="E191">
        <v>42</v>
      </c>
      <c r="F191">
        <v>27</v>
      </c>
      <c r="G191" t="s">
        <v>14</v>
      </c>
      <c r="H191" t="s">
        <v>14</v>
      </c>
      <c r="I191" t="s">
        <v>14</v>
      </c>
      <c r="J191">
        <f t="shared" si="8"/>
        <v>89.54000000000002</v>
      </c>
      <c r="K191">
        <f t="shared" si="9"/>
        <v>76.3</v>
      </c>
      <c r="L191">
        <f t="shared" si="10"/>
        <v>52</v>
      </c>
      <c r="M191">
        <f t="shared" si="11"/>
        <v>66.58</v>
      </c>
    </row>
    <row r="192" spans="1:13" x14ac:dyDescent="0.45">
      <c r="A192">
        <v>191</v>
      </c>
      <c r="B192" t="s">
        <v>15</v>
      </c>
      <c r="C192">
        <v>1454</v>
      </c>
      <c r="D192">
        <v>52</v>
      </c>
      <c r="E192">
        <v>51</v>
      </c>
      <c r="F192">
        <v>22</v>
      </c>
      <c r="G192" t="s">
        <v>14</v>
      </c>
      <c r="H192" t="s">
        <v>16</v>
      </c>
      <c r="I192" t="s">
        <v>16</v>
      </c>
      <c r="J192">
        <f t="shared" si="8"/>
        <v>46.800000000000004</v>
      </c>
      <c r="K192">
        <f t="shared" si="9"/>
        <v>70.8</v>
      </c>
      <c r="L192">
        <f t="shared" si="10"/>
        <v>36</v>
      </c>
      <c r="M192">
        <f t="shared" si="11"/>
        <v>56.879999999999995</v>
      </c>
    </row>
    <row r="193" spans="1:13" x14ac:dyDescent="0.45">
      <c r="A193">
        <v>192</v>
      </c>
      <c r="B193" t="s">
        <v>15</v>
      </c>
      <c r="C193">
        <v>752</v>
      </c>
      <c r="D193">
        <v>57</v>
      </c>
      <c r="E193">
        <v>25</v>
      </c>
      <c r="F193">
        <v>35</v>
      </c>
      <c r="G193" t="s">
        <v>16</v>
      </c>
      <c r="H193" t="s">
        <v>16</v>
      </c>
      <c r="I193" t="s">
        <v>14</v>
      </c>
      <c r="J193">
        <f t="shared" si="8"/>
        <v>51.300000000000004</v>
      </c>
      <c r="K193">
        <f t="shared" si="9"/>
        <v>66.5</v>
      </c>
      <c r="L193">
        <f t="shared" si="10"/>
        <v>28.5</v>
      </c>
      <c r="M193">
        <f t="shared" si="11"/>
        <v>51.3</v>
      </c>
    </row>
    <row r="194" spans="1:13" x14ac:dyDescent="0.45">
      <c r="A194">
        <v>193</v>
      </c>
      <c r="B194" t="s">
        <v>17</v>
      </c>
      <c r="C194">
        <v>656</v>
      </c>
      <c r="D194">
        <v>80</v>
      </c>
      <c r="E194">
        <v>46</v>
      </c>
      <c r="F194">
        <v>22</v>
      </c>
      <c r="G194" t="s">
        <v>14</v>
      </c>
      <c r="H194" t="s">
        <v>16</v>
      </c>
      <c r="I194" t="s">
        <v>16</v>
      </c>
      <c r="J194">
        <f t="shared" ref="J194:J257" si="12">D194*(IF(B194="Residential",0.9,IF(B194="Commercial",1,IF(B194="Infrastructure",1.1,1))))*(IF(H194="Yes",1.1,1))</f>
        <v>88</v>
      </c>
      <c r="K194">
        <f t="shared" ref="K194:K257" si="13">MIN((((E194*100)+(F194*90))/100)+IF(I194="Yes",10,0),100)</f>
        <v>65.8</v>
      </c>
      <c r="L194">
        <f t="shared" ref="L194:L257" si="14">MIN((D194*0.5)+IF(G194="Yes",10,0)+IF(H194="Yes",5,0),100)</f>
        <v>50</v>
      </c>
      <c r="M194">
        <f t="shared" ref="M194:M257" si="15">MIN((K194*0.6)+(L194*0.4),100)</f>
        <v>59.48</v>
      </c>
    </row>
    <row r="195" spans="1:13" x14ac:dyDescent="0.45">
      <c r="A195">
        <v>194</v>
      </c>
      <c r="B195" t="s">
        <v>17</v>
      </c>
      <c r="C195">
        <v>1956</v>
      </c>
      <c r="D195">
        <v>73</v>
      </c>
      <c r="E195">
        <v>51</v>
      </c>
      <c r="F195">
        <v>25</v>
      </c>
      <c r="G195" t="s">
        <v>16</v>
      </c>
      <c r="H195" t="s">
        <v>16</v>
      </c>
      <c r="I195" t="s">
        <v>16</v>
      </c>
      <c r="J195">
        <f t="shared" si="12"/>
        <v>80.300000000000011</v>
      </c>
      <c r="K195">
        <f t="shared" si="13"/>
        <v>73.5</v>
      </c>
      <c r="L195">
        <f t="shared" si="14"/>
        <v>36.5</v>
      </c>
      <c r="M195">
        <f t="shared" si="15"/>
        <v>58.7</v>
      </c>
    </row>
    <row r="196" spans="1:13" x14ac:dyDescent="0.45">
      <c r="A196">
        <v>195</v>
      </c>
      <c r="B196" t="s">
        <v>15</v>
      </c>
      <c r="C196">
        <v>1309</v>
      </c>
      <c r="D196">
        <v>64</v>
      </c>
      <c r="E196">
        <v>58</v>
      </c>
      <c r="F196">
        <v>36</v>
      </c>
      <c r="G196" t="s">
        <v>14</v>
      </c>
      <c r="H196" t="s">
        <v>16</v>
      </c>
      <c r="I196" t="s">
        <v>14</v>
      </c>
      <c r="J196">
        <f t="shared" si="12"/>
        <v>57.6</v>
      </c>
      <c r="K196">
        <f t="shared" si="13"/>
        <v>100</v>
      </c>
      <c r="L196">
        <f t="shared" si="14"/>
        <v>42</v>
      </c>
      <c r="M196">
        <f t="shared" si="15"/>
        <v>76.8</v>
      </c>
    </row>
    <row r="197" spans="1:13" x14ac:dyDescent="0.45">
      <c r="A197">
        <v>196</v>
      </c>
      <c r="B197" t="s">
        <v>13</v>
      </c>
      <c r="C197">
        <v>416</v>
      </c>
      <c r="D197">
        <v>64</v>
      </c>
      <c r="E197">
        <v>57</v>
      </c>
      <c r="F197">
        <v>33</v>
      </c>
      <c r="G197" t="s">
        <v>14</v>
      </c>
      <c r="H197" t="s">
        <v>16</v>
      </c>
      <c r="I197" t="s">
        <v>16</v>
      </c>
      <c r="J197">
        <f t="shared" si="12"/>
        <v>64</v>
      </c>
      <c r="K197">
        <f t="shared" si="13"/>
        <v>86.7</v>
      </c>
      <c r="L197">
        <f t="shared" si="14"/>
        <v>42</v>
      </c>
      <c r="M197">
        <f t="shared" si="15"/>
        <v>68.820000000000007</v>
      </c>
    </row>
    <row r="198" spans="1:13" x14ac:dyDescent="0.45">
      <c r="A198">
        <v>197</v>
      </c>
      <c r="B198" t="s">
        <v>13</v>
      </c>
      <c r="C198">
        <v>958</v>
      </c>
      <c r="D198">
        <v>95</v>
      </c>
      <c r="E198">
        <v>33</v>
      </c>
      <c r="F198">
        <v>35</v>
      </c>
      <c r="G198" t="s">
        <v>16</v>
      </c>
      <c r="H198" t="s">
        <v>16</v>
      </c>
      <c r="I198" t="s">
        <v>16</v>
      </c>
      <c r="J198">
        <f t="shared" si="12"/>
        <v>95</v>
      </c>
      <c r="K198">
        <f t="shared" si="13"/>
        <v>64.5</v>
      </c>
      <c r="L198">
        <f t="shared" si="14"/>
        <v>47.5</v>
      </c>
      <c r="M198">
        <f t="shared" si="15"/>
        <v>57.699999999999996</v>
      </c>
    </row>
    <row r="199" spans="1:13" x14ac:dyDescent="0.45">
      <c r="A199">
        <v>198</v>
      </c>
      <c r="B199" t="s">
        <v>13</v>
      </c>
      <c r="C199">
        <v>1089</v>
      </c>
      <c r="D199">
        <v>94</v>
      </c>
      <c r="E199">
        <v>27</v>
      </c>
      <c r="F199">
        <v>39</v>
      </c>
      <c r="G199" t="s">
        <v>16</v>
      </c>
      <c r="H199" t="s">
        <v>14</v>
      </c>
      <c r="I199" t="s">
        <v>16</v>
      </c>
      <c r="J199">
        <f t="shared" si="12"/>
        <v>103.4</v>
      </c>
      <c r="K199">
        <f t="shared" si="13"/>
        <v>62.1</v>
      </c>
      <c r="L199">
        <f t="shared" si="14"/>
        <v>52</v>
      </c>
      <c r="M199">
        <f t="shared" si="15"/>
        <v>58.06</v>
      </c>
    </row>
    <row r="200" spans="1:13" x14ac:dyDescent="0.45">
      <c r="A200">
        <v>199</v>
      </c>
      <c r="B200" t="s">
        <v>17</v>
      </c>
      <c r="C200">
        <v>666</v>
      </c>
      <c r="D200">
        <v>73</v>
      </c>
      <c r="E200">
        <v>38</v>
      </c>
      <c r="F200">
        <v>31</v>
      </c>
      <c r="G200" t="s">
        <v>16</v>
      </c>
      <c r="H200" t="s">
        <v>14</v>
      </c>
      <c r="I200" t="s">
        <v>14</v>
      </c>
      <c r="J200">
        <f t="shared" si="12"/>
        <v>88.330000000000027</v>
      </c>
      <c r="K200">
        <f t="shared" si="13"/>
        <v>75.900000000000006</v>
      </c>
      <c r="L200">
        <f t="shared" si="14"/>
        <v>41.5</v>
      </c>
      <c r="M200">
        <f t="shared" si="15"/>
        <v>62.14</v>
      </c>
    </row>
    <row r="201" spans="1:13" x14ac:dyDescent="0.45">
      <c r="A201">
        <v>200</v>
      </c>
      <c r="B201" t="s">
        <v>15</v>
      </c>
      <c r="C201">
        <v>1396</v>
      </c>
      <c r="D201">
        <v>76</v>
      </c>
      <c r="E201">
        <v>46</v>
      </c>
      <c r="F201">
        <v>36</v>
      </c>
      <c r="G201" t="s">
        <v>14</v>
      </c>
      <c r="H201" t="s">
        <v>14</v>
      </c>
      <c r="I201" t="s">
        <v>14</v>
      </c>
      <c r="J201">
        <f t="shared" si="12"/>
        <v>75.240000000000009</v>
      </c>
      <c r="K201">
        <f t="shared" si="13"/>
        <v>88.4</v>
      </c>
      <c r="L201">
        <f t="shared" si="14"/>
        <v>53</v>
      </c>
      <c r="M201">
        <f t="shared" si="15"/>
        <v>74.240000000000009</v>
      </c>
    </row>
    <row r="202" spans="1:13" x14ac:dyDescent="0.45">
      <c r="A202">
        <v>201</v>
      </c>
      <c r="B202" t="s">
        <v>15</v>
      </c>
      <c r="C202">
        <v>1157</v>
      </c>
      <c r="D202">
        <v>60</v>
      </c>
      <c r="E202">
        <v>23</v>
      </c>
      <c r="F202">
        <v>36</v>
      </c>
      <c r="G202" t="s">
        <v>14</v>
      </c>
      <c r="H202" t="s">
        <v>14</v>
      </c>
      <c r="I202" t="s">
        <v>16</v>
      </c>
      <c r="J202">
        <f t="shared" si="12"/>
        <v>59.400000000000006</v>
      </c>
      <c r="K202">
        <f t="shared" si="13"/>
        <v>55.4</v>
      </c>
      <c r="L202">
        <f t="shared" si="14"/>
        <v>45</v>
      </c>
      <c r="M202">
        <f t="shared" si="15"/>
        <v>51.239999999999995</v>
      </c>
    </row>
    <row r="203" spans="1:13" x14ac:dyDescent="0.45">
      <c r="A203">
        <v>202</v>
      </c>
      <c r="B203" t="s">
        <v>17</v>
      </c>
      <c r="C203">
        <v>536</v>
      </c>
      <c r="D203">
        <v>75</v>
      </c>
      <c r="E203">
        <v>38</v>
      </c>
      <c r="F203">
        <v>27</v>
      </c>
      <c r="G203" t="s">
        <v>14</v>
      </c>
      <c r="H203" t="s">
        <v>16</v>
      </c>
      <c r="I203" t="s">
        <v>16</v>
      </c>
      <c r="J203">
        <f t="shared" si="12"/>
        <v>82.5</v>
      </c>
      <c r="K203">
        <f t="shared" si="13"/>
        <v>62.3</v>
      </c>
      <c r="L203">
        <f t="shared" si="14"/>
        <v>47.5</v>
      </c>
      <c r="M203">
        <f t="shared" si="15"/>
        <v>56.379999999999995</v>
      </c>
    </row>
    <row r="204" spans="1:13" x14ac:dyDescent="0.45">
      <c r="A204">
        <v>203</v>
      </c>
      <c r="B204" t="s">
        <v>17</v>
      </c>
      <c r="C204">
        <v>824</v>
      </c>
      <c r="D204">
        <v>57</v>
      </c>
      <c r="E204">
        <v>32</v>
      </c>
      <c r="F204">
        <v>38</v>
      </c>
      <c r="G204" t="s">
        <v>14</v>
      </c>
      <c r="H204" t="s">
        <v>16</v>
      </c>
      <c r="I204" t="s">
        <v>16</v>
      </c>
      <c r="J204">
        <f t="shared" si="12"/>
        <v>62.7</v>
      </c>
      <c r="K204">
        <f t="shared" si="13"/>
        <v>66.2</v>
      </c>
      <c r="L204">
        <f t="shared" si="14"/>
        <v>38.5</v>
      </c>
      <c r="M204">
        <f t="shared" si="15"/>
        <v>55.12</v>
      </c>
    </row>
    <row r="205" spans="1:13" x14ac:dyDescent="0.45">
      <c r="A205">
        <v>204</v>
      </c>
      <c r="B205" t="s">
        <v>17</v>
      </c>
      <c r="C205">
        <v>428</v>
      </c>
      <c r="D205">
        <v>74</v>
      </c>
      <c r="E205">
        <v>33</v>
      </c>
      <c r="F205">
        <v>30</v>
      </c>
      <c r="G205" t="s">
        <v>16</v>
      </c>
      <c r="H205" t="s">
        <v>14</v>
      </c>
      <c r="I205" t="s">
        <v>14</v>
      </c>
      <c r="J205">
        <f t="shared" si="12"/>
        <v>89.54000000000002</v>
      </c>
      <c r="K205">
        <f t="shared" si="13"/>
        <v>70</v>
      </c>
      <c r="L205">
        <f t="shared" si="14"/>
        <v>42</v>
      </c>
      <c r="M205">
        <f t="shared" si="15"/>
        <v>58.8</v>
      </c>
    </row>
    <row r="206" spans="1:13" x14ac:dyDescent="0.45">
      <c r="A206">
        <v>205</v>
      </c>
      <c r="B206" t="s">
        <v>15</v>
      </c>
      <c r="C206">
        <v>627</v>
      </c>
      <c r="D206">
        <v>65</v>
      </c>
      <c r="E206">
        <v>37</v>
      </c>
      <c r="F206">
        <v>37</v>
      </c>
      <c r="G206" t="s">
        <v>16</v>
      </c>
      <c r="H206" t="s">
        <v>16</v>
      </c>
      <c r="I206" t="s">
        <v>16</v>
      </c>
      <c r="J206">
        <f t="shared" si="12"/>
        <v>58.5</v>
      </c>
      <c r="K206">
        <f t="shared" si="13"/>
        <v>70.3</v>
      </c>
      <c r="L206">
        <f t="shared" si="14"/>
        <v>32.5</v>
      </c>
      <c r="M206">
        <f t="shared" si="15"/>
        <v>55.18</v>
      </c>
    </row>
    <row r="207" spans="1:13" x14ac:dyDescent="0.45">
      <c r="A207">
        <v>206</v>
      </c>
      <c r="B207" t="s">
        <v>13</v>
      </c>
      <c r="C207">
        <v>1529</v>
      </c>
      <c r="D207">
        <v>57</v>
      </c>
      <c r="E207">
        <v>20</v>
      </c>
      <c r="F207">
        <v>21</v>
      </c>
      <c r="G207" t="s">
        <v>16</v>
      </c>
      <c r="H207" t="s">
        <v>14</v>
      </c>
      <c r="I207" t="s">
        <v>16</v>
      </c>
      <c r="J207">
        <f t="shared" si="12"/>
        <v>62.7</v>
      </c>
      <c r="K207">
        <f t="shared" si="13"/>
        <v>38.9</v>
      </c>
      <c r="L207">
        <f t="shared" si="14"/>
        <v>33.5</v>
      </c>
      <c r="M207">
        <f t="shared" si="15"/>
        <v>36.74</v>
      </c>
    </row>
    <row r="208" spans="1:13" x14ac:dyDescent="0.45">
      <c r="A208">
        <v>207</v>
      </c>
      <c r="B208" t="s">
        <v>15</v>
      </c>
      <c r="C208">
        <v>337</v>
      </c>
      <c r="D208">
        <v>59</v>
      </c>
      <c r="E208">
        <v>43</v>
      </c>
      <c r="F208">
        <v>16</v>
      </c>
      <c r="G208" t="s">
        <v>14</v>
      </c>
      <c r="H208" t="s">
        <v>14</v>
      </c>
      <c r="I208" t="s">
        <v>14</v>
      </c>
      <c r="J208">
        <f t="shared" si="12"/>
        <v>58.410000000000004</v>
      </c>
      <c r="K208">
        <f t="shared" si="13"/>
        <v>67.400000000000006</v>
      </c>
      <c r="L208">
        <f t="shared" si="14"/>
        <v>44.5</v>
      </c>
      <c r="M208">
        <f t="shared" si="15"/>
        <v>58.240000000000009</v>
      </c>
    </row>
    <row r="209" spans="1:13" x14ac:dyDescent="0.45">
      <c r="A209">
        <v>208</v>
      </c>
      <c r="B209" t="s">
        <v>17</v>
      </c>
      <c r="C209">
        <v>264</v>
      </c>
      <c r="D209">
        <v>78</v>
      </c>
      <c r="E209">
        <v>40</v>
      </c>
      <c r="F209">
        <v>26</v>
      </c>
      <c r="G209" t="s">
        <v>14</v>
      </c>
      <c r="H209" t="s">
        <v>16</v>
      </c>
      <c r="I209" t="s">
        <v>14</v>
      </c>
      <c r="J209">
        <f t="shared" si="12"/>
        <v>85.800000000000011</v>
      </c>
      <c r="K209">
        <f t="shared" si="13"/>
        <v>73.400000000000006</v>
      </c>
      <c r="L209">
        <f t="shared" si="14"/>
        <v>49</v>
      </c>
      <c r="M209">
        <f t="shared" si="15"/>
        <v>63.64</v>
      </c>
    </row>
    <row r="210" spans="1:13" x14ac:dyDescent="0.45">
      <c r="A210">
        <v>209</v>
      </c>
      <c r="B210" t="s">
        <v>15</v>
      </c>
      <c r="C210">
        <v>1138</v>
      </c>
      <c r="D210">
        <v>80</v>
      </c>
      <c r="E210">
        <v>31</v>
      </c>
      <c r="F210">
        <v>30</v>
      </c>
      <c r="G210" t="s">
        <v>16</v>
      </c>
      <c r="H210" t="s">
        <v>14</v>
      </c>
      <c r="I210" t="s">
        <v>14</v>
      </c>
      <c r="J210">
        <f t="shared" si="12"/>
        <v>79.2</v>
      </c>
      <c r="K210">
        <f t="shared" si="13"/>
        <v>68</v>
      </c>
      <c r="L210">
        <f t="shared" si="14"/>
        <v>45</v>
      </c>
      <c r="M210">
        <f t="shared" si="15"/>
        <v>58.8</v>
      </c>
    </row>
    <row r="211" spans="1:13" x14ac:dyDescent="0.45">
      <c r="A211">
        <v>210</v>
      </c>
      <c r="B211" t="s">
        <v>17</v>
      </c>
      <c r="C211">
        <v>625</v>
      </c>
      <c r="D211">
        <v>75</v>
      </c>
      <c r="E211">
        <v>25</v>
      </c>
      <c r="F211">
        <v>40</v>
      </c>
      <c r="G211" t="s">
        <v>14</v>
      </c>
      <c r="H211" t="s">
        <v>16</v>
      </c>
      <c r="I211" t="s">
        <v>14</v>
      </c>
      <c r="J211">
        <f t="shared" si="12"/>
        <v>82.5</v>
      </c>
      <c r="K211">
        <f t="shared" si="13"/>
        <v>71</v>
      </c>
      <c r="L211">
        <f t="shared" si="14"/>
        <v>47.5</v>
      </c>
      <c r="M211">
        <f t="shared" si="15"/>
        <v>61.6</v>
      </c>
    </row>
    <row r="212" spans="1:13" x14ac:dyDescent="0.45">
      <c r="A212">
        <v>211</v>
      </c>
      <c r="B212" t="s">
        <v>17</v>
      </c>
      <c r="C212">
        <v>246</v>
      </c>
      <c r="D212">
        <v>47</v>
      </c>
      <c r="E212">
        <v>56</v>
      </c>
      <c r="F212">
        <v>21</v>
      </c>
      <c r="G212" t="s">
        <v>16</v>
      </c>
      <c r="H212" t="s">
        <v>14</v>
      </c>
      <c r="I212" t="s">
        <v>16</v>
      </c>
      <c r="J212">
        <f t="shared" si="12"/>
        <v>56.870000000000005</v>
      </c>
      <c r="K212">
        <f t="shared" si="13"/>
        <v>74.900000000000006</v>
      </c>
      <c r="L212">
        <f t="shared" si="14"/>
        <v>28.5</v>
      </c>
      <c r="M212">
        <f t="shared" si="15"/>
        <v>56.34</v>
      </c>
    </row>
    <row r="213" spans="1:13" x14ac:dyDescent="0.45">
      <c r="A213">
        <v>212</v>
      </c>
      <c r="B213" t="s">
        <v>13</v>
      </c>
      <c r="C213">
        <v>1403</v>
      </c>
      <c r="D213">
        <v>81</v>
      </c>
      <c r="E213">
        <v>26</v>
      </c>
      <c r="F213">
        <v>16</v>
      </c>
      <c r="G213" t="s">
        <v>16</v>
      </c>
      <c r="H213" t="s">
        <v>16</v>
      </c>
      <c r="I213" t="s">
        <v>16</v>
      </c>
      <c r="J213">
        <f t="shared" si="12"/>
        <v>81</v>
      </c>
      <c r="K213">
        <f t="shared" si="13"/>
        <v>40.4</v>
      </c>
      <c r="L213">
        <f t="shared" si="14"/>
        <v>40.5</v>
      </c>
      <c r="M213">
        <f t="shared" si="15"/>
        <v>40.44</v>
      </c>
    </row>
    <row r="214" spans="1:13" x14ac:dyDescent="0.45">
      <c r="A214">
        <v>213</v>
      </c>
      <c r="B214" t="s">
        <v>15</v>
      </c>
      <c r="C214">
        <v>1298</v>
      </c>
      <c r="D214">
        <v>72</v>
      </c>
      <c r="E214">
        <v>38</v>
      </c>
      <c r="F214">
        <v>40</v>
      </c>
      <c r="G214" t="s">
        <v>16</v>
      </c>
      <c r="H214" t="s">
        <v>16</v>
      </c>
      <c r="I214" t="s">
        <v>16</v>
      </c>
      <c r="J214">
        <f t="shared" si="12"/>
        <v>64.8</v>
      </c>
      <c r="K214">
        <f t="shared" si="13"/>
        <v>74</v>
      </c>
      <c r="L214">
        <f t="shared" si="14"/>
        <v>36</v>
      </c>
      <c r="M214">
        <f t="shared" si="15"/>
        <v>58.8</v>
      </c>
    </row>
    <row r="215" spans="1:13" x14ac:dyDescent="0.45">
      <c r="A215">
        <v>214</v>
      </c>
      <c r="B215" t="s">
        <v>15</v>
      </c>
      <c r="C215">
        <v>152</v>
      </c>
      <c r="D215">
        <v>54</v>
      </c>
      <c r="E215">
        <v>59</v>
      </c>
      <c r="F215">
        <v>34</v>
      </c>
      <c r="G215" t="s">
        <v>16</v>
      </c>
      <c r="H215" t="s">
        <v>16</v>
      </c>
      <c r="I215" t="s">
        <v>16</v>
      </c>
      <c r="J215">
        <f t="shared" si="12"/>
        <v>48.6</v>
      </c>
      <c r="K215">
        <f t="shared" si="13"/>
        <v>89.6</v>
      </c>
      <c r="L215">
        <f t="shared" si="14"/>
        <v>27</v>
      </c>
      <c r="M215">
        <f t="shared" si="15"/>
        <v>64.56</v>
      </c>
    </row>
    <row r="216" spans="1:13" x14ac:dyDescent="0.45">
      <c r="A216">
        <v>215</v>
      </c>
      <c r="B216" t="s">
        <v>15</v>
      </c>
      <c r="C216">
        <v>216</v>
      </c>
      <c r="D216">
        <v>54</v>
      </c>
      <c r="E216">
        <v>52</v>
      </c>
      <c r="F216">
        <v>24</v>
      </c>
      <c r="G216" t="s">
        <v>14</v>
      </c>
      <c r="H216" t="s">
        <v>14</v>
      </c>
      <c r="I216" t="s">
        <v>16</v>
      </c>
      <c r="J216">
        <f t="shared" si="12"/>
        <v>53.460000000000008</v>
      </c>
      <c r="K216">
        <f t="shared" si="13"/>
        <v>73.599999999999994</v>
      </c>
      <c r="L216">
        <f t="shared" si="14"/>
        <v>42</v>
      </c>
      <c r="M216">
        <f t="shared" si="15"/>
        <v>60.959999999999994</v>
      </c>
    </row>
    <row r="217" spans="1:13" x14ac:dyDescent="0.45">
      <c r="A217">
        <v>216</v>
      </c>
      <c r="B217" t="s">
        <v>15</v>
      </c>
      <c r="C217">
        <v>1081</v>
      </c>
      <c r="D217">
        <v>79</v>
      </c>
      <c r="E217">
        <v>58</v>
      </c>
      <c r="F217">
        <v>29</v>
      </c>
      <c r="G217" t="s">
        <v>16</v>
      </c>
      <c r="H217" t="s">
        <v>14</v>
      </c>
      <c r="I217" t="s">
        <v>14</v>
      </c>
      <c r="J217">
        <f t="shared" si="12"/>
        <v>78.210000000000022</v>
      </c>
      <c r="K217">
        <f t="shared" si="13"/>
        <v>94.1</v>
      </c>
      <c r="L217">
        <f t="shared" si="14"/>
        <v>44.5</v>
      </c>
      <c r="M217">
        <f t="shared" si="15"/>
        <v>74.259999999999991</v>
      </c>
    </row>
    <row r="218" spans="1:13" x14ac:dyDescent="0.45">
      <c r="A218">
        <v>217</v>
      </c>
      <c r="B218" t="s">
        <v>17</v>
      </c>
      <c r="C218">
        <v>1303</v>
      </c>
      <c r="D218">
        <v>88</v>
      </c>
      <c r="E218">
        <v>41</v>
      </c>
      <c r="F218">
        <v>30</v>
      </c>
      <c r="G218" t="s">
        <v>14</v>
      </c>
      <c r="H218" t="s">
        <v>14</v>
      </c>
      <c r="I218" t="s">
        <v>14</v>
      </c>
      <c r="J218">
        <f t="shared" si="12"/>
        <v>106.48000000000002</v>
      </c>
      <c r="K218">
        <f t="shared" si="13"/>
        <v>78</v>
      </c>
      <c r="L218">
        <f t="shared" si="14"/>
        <v>59</v>
      </c>
      <c r="M218">
        <f t="shared" si="15"/>
        <v>70.400000000000006</v>
      </c>
    </row>
    <row r="219" spans="1:13" x14ac:dyDescent="0.45">
      <c r="A219">
        <v>218</v>
      </c>
      <c r="B219" t="s">
        <v>13</v>
      </c>
      <c r="C219">
        <v>1055</v>
      </c>
      <c r="D219">
        <v>77</v>
      </c>
      <c r="E219">
        <v>39</v>
      </c>
      <c r="F219">
        <v>36</v>
      </c>
      <c r="G219" t="s">
        <v>16</v>
      </c>
      <c r="H219" t="s">
        <v>16</v>
      </c>
      <c r="I219" t="s">
        <v>14</v>
      </c>
      <c r="J219">
        <f t="shared" si="12"/>
        <v>77</v>
      </c>
      <c r="K219">
        <f t="shared" si="13"/>
        <v>81.400000000000006</v>
      </c>
      <c r="L219">
        <f t="shared" si="14"/>
        <v>38.5</v>
      </c>
      <c r="M219">
        <f t="shared" si="15"/>
        <v>64.240000000000009</v>
      </c>
    </row>
    <row r="220" spans="1:13" x14ac:dyDescent="0.45">
      <c r="A220">
        <v>219</v>
      </c>
      <c r="B220" t="s">
        <v>15</v>
      </c>
      <c r="C220">
        <v>1083</v>
      </c>
      <c r="D220">
        <v>90</v>
      </c>
      <c r="E220">
        <v>29</v>
      </c>
      <c r="F220">
        <v>21</v>
      </c>
      <c r="G220" t="s">
        <v>16</v>
      </c>
      <c r="H220" t="s">
        <v>16</v>
      </c>
      <c r="I220" t="s">
        <v>14</v>
      </c>
      <c r="J220">
        <f t="shared" si="12"/>
        <v>81</v>
      </c>
      <c r="K220">
        <f t="shared" si="13"/>
        <v>57.9</v>
      </c>
      <c r="L220">
        <f t="shared" si="14"/>
        <v>45</v>
      </c>
      <c r="M220">
        <f t="shared" si="15"/>
        <v>52.739999999999995</v>
      </c>
    </row>
    <row r="221" spans="1:13" x14ac:dyDescent="0.45">
      <c r="A221">
        <v>220</v>
      </c>
      <c r="B221" t="s">
        <v>13</v>
      </c>
      <c r="C221">
        <v>446</v>
      </c>
      <c r="D221">
        <v>67</v>
      </c>
      <c r="E221">
        <v>44</v>
      </c>
      <c r="F221">
        <v>17</v>
      </c>
      <c r="G221" t="s">
        <v>14</v>
      </c>
      <c r="H221" t="s">
        <v>14</v>
      </c>
      <c r="I221" t="s">
        <v>16</v>
      </c>
      <c r="J221">
        <f t="shared" si="12"/>
        <v>73.7</v>
      </c>
      <c r="K221">
        <f t="shared" si="13"/>
        <v>59.3</v>
      </c>
      <c r="L221">
        <f t="shared" si="14"/>
        <v>48.5</v>
      </c>
      <c r="M221">
        <f t="shared" si="15"/>
        <v>54.980000000000004</v>
      </c>
    </row>
    <row r="222" spans="1:13" x14ac:dyDescent="0.45">
      <c r="A222">
        <v>221</v>
      </c>
      <c r="B222" t="s">
        <v>17</v>
      </c>
      <c r="C222">
        <v>648</v>
      </c>
      <c r="D222">
        <v>66</v>
      </c>
      <c r="E222">
        <v>55</v>
      </c>
      <c r="F222">
        <v>39</v>
      </c>
      <c r="G222" t="s">
        <v>16</v>
      </c>
      <c r="H222" t="s">
        <v>14</v>
      </c>
      <c r="I222" t="s">
        <v>16</v>
      </c>
      <c r="J222">
        <f t="shared" si="12"/>
        <v>79.860000000000014</v>
      </c>
      <c r="K222">
        <f t="shared" si="13"/>
        <v>90.1</v>
      </c>
      <c r="L222">
        <f t="shared" si="14"/>
        <v>38</v>
      </c>
      <c r="M222">
        <f t="shared" si="15"/>
        <v>69.259999999999991</v>
      </c>
    </row>
    <row r="223" spans="1:13" x14ac:dyDescent="0.45">
      <c r="A223">
        <v>222</v>
      </c>
      <c r="B223" t="s">
        <v>17</v>
      </c>
      <c r="C223">
        <v>616</v>
      </c>
      <c r="D223">
        <v>94</v>
      </c>
      <c r="E223">
        <v>33</v>
      </c>
      <c r="F223">
        <v>26</v>
      </c>
      <c r="G223" t="s">
        <v>14</v>
      </c>
      <c r="H223" t="s">
        <v>14</v>
      </c>
      <c r="I223" t="s">
        <v>14</v>
      </c>
      <c r="J223">
        <f t="shared" si="12"/>
        <v>113.74000000000001</v>
      </c>
      <c r="K223">
        <f t="shared" si="13"/>
        <v>66.400000000000006</v>
      </c>
      <c r="L223">
        <f t="shared" si="14"/>
        <v>62</v>
      </c>
      <c r="M223">
        <f t="shared" si="15"/>
        <v>64.64</v>
      </c>
    </row>
    <row r="224" spans="1:13" x14ac:dyDescent="0.45">
      <c r="A224">
        <v>223</v>
      </c>
      <c r="B224" t="s">
        <v>17</v>
      </c>
      <c r="C224">
        <v>722</v>
      </c>
      <c r="D224">
        <v>87</v>
      </c>
      <c r="E224">
        <v>25</v>
      </c>
      <c r="F224">
        <v>27</v>
      </c>
      <c r="G224" t="s">
        <v>14</v>
      </c>
      <c r="H224" t="s">
        <v>14</v>
      </c>
      <c r="I224" t="s">
        <v>14</v>
      </c>
      <c r="J224">
        <f t="shared" si="12"/>
        <v>105.27000000000001</v>
      </c>
      <c r="K224">
        <f t="shared" si="13"/>
        <v>59.3</v>
      </c>
      <c r="L224">
        <f t="shared" si="14"/>
        <v>58.5</v>
      </c>
      <c r="M224">
        <f t="shared" si="15"/>
        <v>58.980000000000004</v>
      </c>
    </row>
    <row r="225" spans="1:13" x14ac:dyDescent="0.45">
      <c r="A225">
        <v>224</v>
      </c>
      <c r="B225" t="s">
        <v>17</v>
      </c>
      <c r="C225">
        <v>1489</v>
      </c>
      <c r="D225">
        <v>58</v>
      </c>
      <c r="E225">
        <v>22</v>
      </c>
      <c r="F225">
        <v>28</v>
      </c>
      <c r="G225" t="s">
        <v>16</v>
      </c>
      <c r="H225" t="s">
        <v>16</v>
      </c>
      <c r="I225" t="s">
        <v>14</v>
      </c>
      <c r="J225">
        <f t="shared" si="12"/>
        <v>63.800000000000004</v>
      </c>
      <c r="K225">
        <f t="shared" si="13"/>
        <v>57.2</v>
      </c>
      <c r="L225">
        <f t="shared" si="14"/>
        <v>29</v>
      </c>
      <c r="M225">
        <f t="shared" si="15"/>
        <v>45.92</v>
      </c>
    </row>
    <row r="226" spans="1:13" x14ac:dyDescent="0.45">
      <c r="A226">
        <v>225</v>
      </c>
      <c r="B226" t="s">
        <v>17</v>
      </c>
      <c r="C226">
        <v>1435</v>
      </c>
      <c r="D226">
        <v>56</v>
      </c>
      <c r="E226">
        <v>55</v>
      </c>
      <c r="F226">
        <v>36</v>
      </c>
      <c r="G226" t="s">
        <v>16</v>
      </c>
      <c r="H226" t="s">
        <v>14</v>
      </c>
      <c r="I226" t="s">
        <v>14</v>
      </c>
      <c r="J226">
        <f t="shared" si="12"/>
        <v>67.760000000000019</v>
      </c>
      <c r="K226">
        <f t="shared" si="13"/>
        <v>97.4</v>
      </c>
      <c r="L226">
        <f t="shared" si="14"/>
        <v>33</v>
      </c>
      <c r="M226">
        <f t="shared" si="15"/>
        <v>71.64</v>
      </c>
    </row>
    <row r="227" spans="1:13" x14ac:dyDescent="0.45">
      <c r="A227">
        <v>226</v>
      </c>
      <c r="B227" t="s">
        <v>17</v>
      </c>
      <c r="C227">
        <v>1731</v>
      </c>
      <c r="D227">
        <v>50</v>
      </c>
      <c r="E227">
        <v>56</v>
      </c>
      <c r="F227">
        <v>39</v>
      </c>
      <c r="G227" t="s">
        <v>16</v>
      </c>
      <c r="H227" t="s">
        <v>14</v>
      </c>
      <c r="I227" t="s">
        <v>14</v>
      </c>
      <c r="J227">
        <f t="shared" si="12"/>
        <v>60.500000000000014</v>
      </c>
      <c r="K227">
        <f t="shared" si="13"/>
        <v>100</v>
      </c>
      <c r="L227">
        <f t="shared" si="14"/>
        <v>30</v>
      </c>
      <c r="M227">
        <f t="shared" si="15"/>
        <v>72</v>
      </c>
    </row>
    <row r="228" spans="1:13" x14ac:dyDescent="0.45">
      <c r="A228">
        <v>227</v>
      </c>
      <c r="B228" t="s">
        <v>17</v>
      </c>
      <c r="C228">
        <v>268</v>
      </c>
      <c r="D228">
        <v>91</v>
      </c>
      <c r="E228">
        <v>41</v>
      </c>
      <c r="F228">
        <v>38</v>
      </c>
      <c r="G228" t="s">
        <v>14</v>
      </c>
      <c r="H228" t="s">
        <v>14</v>
      </c>
      <c r="I228" t="s">
        <v>16</v>
      </c>
      <c r="J228">
        <f t="shared" si="12"/>
        <v>110.11000000000001</v>
      </c>
      <c r="K228">
        <f t="shared" si="13"/>
        <v>75.2</v>
      </c>
      <c r="L228">
        <f t="shared" si="14"/>
        <v>60.5</v>
      </c>
      <c r="M228">
        <f t="shared" si="15"/>
        <v>69.319999999999993</v>
      </c>
    </row>
    <row r="229" spans="1:13" x14ac:dyDescent="0.45">
      <c r="A229">
        <v>228</v>
      </c>
      <c r="B229" t="s">
        <v>17</v>
      </c>
      <c r="C229">
        <v>1715</v>
      </c>
      <c r="D229">
        <v>80</v>
      </c>
      <c r="E229">
        <v>48</v>
      </c>
      <c r="F229">
        <v>15</v>
      </c>
      <c r="G229" t="s">
        <v>16</v>
      </c>
      <c r="H229" t="s">
        <v>14</v>
      </c>
      <c r="I229" t="s">
        <v>16</v>
      </c>
      <c r="J229">
        <f t="shared" si="12"/>
        <v>96.800000000000011</v>
      </c>
      <c r="K229">
        <f t="shared" si="13"/>
        <v>61.5</v>
      </c>
      <c r="L229">
        <f t="shared" si="14"/>
        <v>45</v>
      </c>
      <c r="M229">
        <f t="shared" si="15"/>
        <v>54.9</v>
      </c>
    </row>
    <row r="230" spans="1:13" x14ac:dyDescent="0.45">
      <c r="A230">
        <v>229</v>
      </c>
      <c r="B230" t="s">
        <v>13</v>
      </c>
      <c r="C230">
        <v>892</v>
      </c>
      <c r="D230">
        <v>54</v>
      </c>
      <c r="E230">
        <v>50</v>
      </c>
      <c r="F230">
        <v>22</v>
      </c>
      <c r="G230" t="s">
        <v>14</v>
      </c>
      <c r="H230" t="s">
        <v>14</v>
      </c>
      <c r="I230" t="s">
        <v>14</v>
      </c>
      <c r="J230">
        <f t="shared" si="12"/>
        <v>59.400000000000006</v>
      </c>
      <c r="K230">
        <f t="shared" si="13"/>
        <v>79.8</v>
      </c>
      <c r="L230">
        <f t="shared" si="14"/>
        <v>42</v>
      </c>
      <c r="M230">
        <f t="shared" si="15"/>
        <v>64.679999999999993</v>
      </c>
    </row>
    <row r="231" spans="1:13" x14ac:dyDescent="0.45">
      <c r="A231">
        <v>230</v>
      </c>
      <c r="B231" t="s">
        <v>13</v>
      </c>
      <c r="C231">
        <v>1484</v>
      </c>
      <c r="D231">
        <v>86</v>
      </c>
      <c r="E231">
        <v>56</v>
      </c>
      <c r="F231">
        <v>39</v>
      </c>
      <c r="G231" t="s">
        <v>16</v>
      </c>
      <c r="H231" t="s">
        <v>14</v>
      </c>
      <c r="I231" t="s">
        <v>14</v>
      </c>
      <c r="J231">
        <f t="shared" si="12"/>
        <v>94.600000000000009</v>
      </c>
      <c r="K231">
        <f t="shared" si="13"/>
        <v>100</v>
      </c>
      <c r="L231">
        <f t="shared" si="14"/>
        <v>48</v>
      </c>
      <c r="M231">
        <f t="shared" si="15"/>
        <v>79.2</v>
      </c>
    </row>
    <row r="232" spans="1:13" x14ac:dyDescent="0.45">
      <c r="A232">
        <v>231</v>
      </c>
      <c r="B232" t="s">
        <v>13</v>
      </c>
      <c r="C232">
        <v>1723</v>
      </c>
      <c r="D232">
        <v>67</v>
      </c>
      <c r="E232">
        <v>21</v>
      </c>
      <c r="F232">
        <v>23</v>
      </c>
      <c r="G232" t="s">
        <v>16</v>
      </c>
      <c r="H232" t="s">
        <v>14</v>
      </c>
      <c r="I232" t="s">
        <v>16</v>
      </c>
      <c r="J232">
        <f t="shared" si="12"/>
        <v>73.7</v>
      </c>
      <c r="K232">
        <f t="shared" si="13"/>
        <v>41.7</v>
      </c>
      <c r="L232">
        <f t="shared" si="14"/>
        <v>38.5</v>
      </c>
      <c r="M232">
        <f t="shared" si="15"/>
        <v>40.42</v>
      </c>
    </row>
    <row r="233" spans="1:13" x14ac:dyDescent="0.45">
      <c r="A233">
        <v>232</v>
      </c>
      <c r="B233" t="s">
        <v>17</v>
      </c>
      <c r="C233">
        <v>172</v>
      </c>
      <c r="D233">
        <v>82</v>
      </c>
      <c r="E233">
        <v>28</v>
      </c>
      <c r="F233">
        <v>25</v>
      </c>
      <c r="G233" t="s">
        <v>16</v>
      </c>
      <c r="H233" t="s">
        <v>14</v>
      </c>
      <c r="I233" t="s">
        <v>16</v>
      </c>
      <c r="J233">
        <f t="shared" si="12"/>
        <v>99.220000000000013</v>
      </c>
      <c r="K233">
        <f t="shared" si="13"/>
        <v>50.5</v>
      </c>
      <c r="L233">
        <f t="shared" si="14"/>
        <v>46</v>
      </c>
      <c r="M233">
        <f t="shared" si="15"/>
        <v>48.7</v>
      </c>
    </row>
    <row r="234" spans="1:13" x14ac:dyDescent="0.45">
      <c r="A234">
        <v>233</v>
      </c>
      <c r="B234" t="s">
        <v>13</v>
      </c>
      <c r="C234">
        <v>823</v>
      </c>
      <c r="D234">
        <v>76</v>
      </c>
      <c r="E234">
        <v>50</v>
      </c>
      <c r="F234">
        <v>29</v>
      </c>
      <c r="G234" t="s">
        <v>14</v>
      </c>
      <c r="H234" t="s">
        <v>14</v>
      </c>
      <c r="I234" t="s">
        <v>16</v>
      </c>
      <c r="J234">
        <f t="shared" si="12"/>
        <v>83.600000000000009</v>
      </c>
      <c r="K234">
        <f t="shared" si="13"/>
        <v>76.099999999999994</v>
      </c>
      <c r="L234">
        <f t="shared" si="14"/>
        <v>53</v>
      </c>
      <c r="M234">
        <f t="shared" si="15"/>
        <v>66.86</v>
      </c>
    </row>
    <row r="235" spans="1:13" x14ac:dyDescent="0.45">
      <c r="A235">
        <v>234</v>
      </c>
      <c r="B235" t="s">
        <v>15</v>
      </c>
      <c r="C235">
        <v>448</v>
      </c>
      <c r="D235">
        <v>46</v>
      </c>
      <c r="E235">
        <v>41</v>
      </c>
      <c r="F235">
        <v>16</v>
      </c>
      <c r="G235" t="s">
        <v>16</v>
      </c>
      <c r="H235" t="s">
        <v>14</v>
      </c>
      <c r="I235" t="s">
        <v>14</v>
      </c>
      <c r="J235">
        <f t="shared" si="12"/>
        <v>45.54</v>
      </c>
      <c r="K235">
        <f t="shared" si="13"/>
        <v>65.400000000000006</v>
      </c>
      <c r="L235">
        <f t="shared" si="14"/>
        <v>28</v>
      </c>
      <c r="M235">
        <f t="shared" si="15"/>
        <v>50.440000000000005</v>
      </c>
    </row>
    <row r="236" spans="1:13" x14ac:dyDescent="0.45">
      <c r="A236">
        <v>235</v>
      </c>
      <c r="B236" t="s">
        <v>15</v>
      </c>
      <c r="C236">
        <v>1141</v>
      </c>
      <c r="D236">
        <v>89</v>
      </c>
      <c r="E236">
        <v>21</v>
      </c>
      <c r="F236">
        <v>18</v>
      </c>
      <c r="G236" t="s">
        <v>16</v>
      </c>
      <c r="H236" t="s">
        <v>16</v>
      </c>
      <c r="I236" t="s">
        <v>16</v>
      </c>
      <c r="J236">
        <f t="shared" si="12"/>
        <v>80.100000000000009</v>
      </c>
      <c r="K236">
        <f t="shared" si="13"/>
        <v>37.200000000000003</v>
      </c>
      <c r="L236">
        <f t="shared" si="14"/>
        <v>44.5</v>
      </c>
      <c r="M236">
        <f t="shared" si="15"/>
        <v>40.120000000000005</v>
      </c>
    </row>
    <row r="237" spans="1:13" x14ac:dyDescent="0.45">
      <c r="A237">
        <v>236</v>
      </c>
      <c r="B237" t="s">
        <v>15</v>
      </c>
      <c r="C237">
        <v>1028</v>
      </c>
      <c r="D237">
        <v>93</v>
      </c>
      <c r="E237">
        <v>53</v>
      </c>
      <c r="F237">
        <v>34</v>
      </c>
      <c r="G237" t="s">
        <v>14</v>
      </c>
      <c r="H237" t="s">
        <v>16</v>
      </c>
      <c r="I237" t="s">
        <v>14</v>
      </c>
      <c r="J237">
        <f t="shared" si="12"/>
        <v>83.7</v>
      </c>
      <c r="K237">
        <f t="shared" si="13"/>
        <v>93.6</v>
      </c>
      <c r="L237">
        <f t="shared" si="14"/>
        <v>56.5</v>
      </c>
      <c r="M237">
        <f t="shared" si="15"/>
        <v>78.759999999999991</v>
      </c>
    </row>
    <row r="238" spans="1:13" x14ac:dyDescent="0.45">
      <c r="A238">
        <v>237</v>
      </c>
      <c r="B238" t="s">
        <v>17</v>
      </c>
      <c r="C238">
        <v>1704</v>
      </c>
      <c r="D238">
        <v>84</v>
      </c>
      <c r="E238">
        <v>36</v>
      </c>
      <c r="F238">
        <v>20</v>
      </c>
      <c r="G238" t="s">
        <v>16</v>
      </c>
      <c r="H238" t="s">
        <v>16</v>
      </c>
      <c r="I238" t="s">
        <v>14</v>
      </c>
      <c r="J238">
        <f t="shared" si="12"/>
        <v>92.4</v>
      </c>
      <c r="K238">
        <f t="shared" si="13"/>
        <v>64</v>
      </c>
      <c r="L238">
        <f t="shared" si="14"/>
        <v>42</v>
      </c>
      <c r="M238">
        <f t="shared" si="15"/>
        <v>55.2</v>
      </c>
    </row>
    <row r="239" spans="1:13" x14ac:dyDescent="0.45">
      <c r="A239">
        <v>238</v>
      </c>
      <c r="B239" t="s">
        <v>15</v>
      </c>
      <c r="C239">
        <v>1226</v>
      </c>
      <c r="D239">
        <v>86</v>
      </c>
      <c r="E239">
        <v>46</v>
      </c>
      <c r="F239">
        <v>18</v>
      </c>
      <c r="G239" t="s">
        <v>14</v>
      </c>
      <c r="H239" t="s">
        <v>14</v>
      </c>
      <c r="I239" t="s">
        <v>14</v>
      </c>
      <c r="J239">
        <f t="shared" si="12"/>
        <v>85.140000000000015</v>
      </c>
      <c r="K239">
        <f t="shared" si="13"/>
        <v>72.2</v>
      </c>
      <c r="L239">
        <f t="shared" si="14"/>
        <v>58</v>
      </c>
      <c r="M239">
        <f t="shared" si="15"/>
        <v>66.52000000000001</v>
      </c>
    </row>
    <row r="240" spans="1:13" x14ac:dyDescent="0.45">
      <c r="A240">
        <v>239</v>
      </c>
      <c r="B240" t="s">
        <v>13</v>
      </c>
      <c r="C240">
        <v>1701</v>
      </c>
      <c r="D240">
        <v>71</v>
      </c>
      <c r="E240">
        <v>59</v>
      </c>
      <c r="F240">
        <v>25</v>
      </c>
      <c r="G240" t="s">
        <v>16</v>
      </c>
      <c r="H240" t="s">
        <v>16</v>
      </c>
      <c r="I240" t="s">
        <v>14</v>
      </c>
      <c r="J240">
        <f t="shared" si="12"/>
        <v>71</v>
      </c>
      <c r="K240">
        <f t="shared" si="13"/>
        <v>91.5</v>
      </c>
      <c r="L240">
        <f t="shared" si="14"/>
        <v>35.5</v>
      </c>
      <c r="M240">
        <f t="shared" si="15"/>
        <v>69.099999999999994</v>
      </c>
    </row>
    <row r="241" spans="1:13" x14ac:dyDescent="0.45">
      <c r="A241">
        <v>240</v>
      </c>
      <c r="B241" t="s">
        <v>13</v>
      </c>
      <c r="C241">
        <v>516</v>
      </c>
      <c r="D241">
        <v>63</v>
      </c>
      <c r="E241">
        <v>55</v>
      </c>
      <c r="F241">
        <v>26</v>
      </c>
      <c r="G241" t="s">
        <v>14</v>
      </c>
      <c r="H241" t="s">
        <v>16</v>
      </c>
      <c r="I241" t="s">
        <v>16</v>
      </c>
      <c r="J241">
        <f t="shared" si="12"/>
        <v>63</v>
      </c>
      <c r="K241">
        <f t="shared" si="13"/>
        <v>78.400000000000006</v>
      </c>
      <c r="L241">
        <f t="shared" si="14"/>
        <v>41.5</v>
      </c>
      <c r="M241">
        <f t="shared" si="15"/>
        <v>63.64</v>
      </c>
    </row>
    <row r="242" spans="1:13" x14ac:dyDescent="0.45">
      <c r="A242">
        <v>241</v>
      </c>
      <c r="B242" t="s">
        <v>17</v>
      </c>
      <c r="C242">
        <v>1599</v>
      </c>
      <c r="D242">
        <v>44</v>
      </c>
      <c r="E242">
        <v>32</v>
      </c>
      <c r="F242">
        <v>19</v>
      </c>
      <c r="G242" t="s">
        <v>14</v>
      </c>
      <c r="H242" t="s">
        <v>16</v>
      </c>
      <c r="I242" t="s">
        <v>16</v>
      </c>
      <c r="J242">
        <f t="shared" si="12"/>
        <v>48.400000000000006</v>
      </c>
      <c r="K242">
        <f t="shared" si="13"/>
        <v>49.1</v>
      </c>
      <c r="L242">
        <f t="shared" si="14"/>
        <v>32</v>
      </c>
      <c r="M242">
        <f t="shared" si="15"/>
        <v>42.260000000000005</v>
      </c>
    </row>
    <row r="243" spans="1:13" x14ac:dyDescent="0.45">
      <c r="A243">
        <v>242</v>
      </c>
      <c r="B243" t="s">
        <v>15</v>
      </c>
      <c r="C243">
        <v>858</v>
      </c>
      <c r="D243">
        <v>45</v>
      </c>
      <c r="E243">
        <v>46</v>
      </c>
      <c r="F243">
        <v>32</v>
      </c>
      <c r="G243" t="s">
        <v>14</v>
      </c>
      <c r="H243" t="s">
        <v>16</v>
      </c>
      <c r="I243" t="s">
        <v>16</v>
      </c>
      <c r="J243">
        <f t="shared" si="12"/>
        <v>40.5</v>
      </c>
      <c r="K243">
        <f t="shared" si="13"/>
        <v>74.8</v>
      </c>
      <c r="L243">
        <f t="shared" si="14"/>
        <v>32.5</v>
      </c>
      <c r="M243">
        <f t="shared" si="15"/>
        <v>57.879999999999995</v>
      </c>
    </row>
    <row r="244" spans="1:13" x14ac:dyDescent="0.45">
      <c r="A244">
        <v>243</v>
      </c>
      <c r="B244" t="s">
        <v>17</v>
      </c>
      <c r="C244">
        <v>1369</v>
      </c>
      <c r="D244">
        <v>45</v>
      </c>
      <c r="E244">
        <v>21</v>
      </c>
      <c r="F244">
        <v>19</v>
      </c>
      <c r="G244" t="s">
        <v>16</v>
      </c>
      <c r="H244" t="s">
        <v>16</v>
      </c>
      <c r="I244" t="s">
        <v>16</v>
      </c>
      <c r="J244">
        <f t="shared" si="12"/>
        <v>49.500000000000007</v>
      </c>
      <c r="K244">
        <f t="shared" si="13"/>
        <v>38.1</v>
      </c>
      <c r="L244">
        <f t="shared" si="14"/>
        <v>22.5</v>
      </c>
      <c r="M244">
        <f t="shared" si="15"/>
        <v>31.86</v>
      </c>
    </row>
    <row r="245" spans="1:13" x14ac:dyDescent="0.45">
      <c r="A245">
        <v>244</v>
      </c>
      <c r="B245" t="s">
        <v>15</v>
      </c>
      <c r="C245">
        <v>756</v>
      </c>
      <c r="D245">
        <v>83</v>
      </c>
      <c r="E245">
        <v>28</v>
      </c>
      <c r="F245">
        <v>35</v>
      </c>
      <c r="G245" t="s">
        <v>14</v>
      </c>
      <c r="H245" t="s">
        <v>16</v>
      </c>
      <c r="I245" t="s">
        <v>14</v>
      </c>
      <c r="J245">
        <f t="shared" si="12"/>
        <v>74.7</v>
      </c>
      <c r="K245">
        <f t="shared" si="13"/>
        <v>69.5</v>
      </c>
      <c r="L245">
        <f t="shared" si="14"/>
        <v>51.5</v>
      </c>
      <c r="M245">
        <f t="shared" si="15"/>
        <v>62.3</v>
      </c>
    </row>
    <row r="246" spans="1:13" x14ac:dyDescent="0.45">
      <c r="A246">
        <v>245</v>
      </c>
      <c r="B246" t="s">
        <v>15</v>
      </c>
      <c r="C246">
        <v>645</v>
      </c>
      <c r="D246">
        <v>90</v>
      </c>
      <c r="E246">
        <v>31</v>
      </c>
      <c r="F246">
        <v>17</v>
      </c>
      <c r="G246" t="s">
        <v>14</v>
      </c>
      <c r="H246" t="s">
        <v>14</v>
      </c>
      <c r="I246" t="s">
        <v>14</v>
      </c>
      <c r="J246">
        <f t="shared" si="12"/>
        <v>89.100000000000009</v>
      </c>
      <c r="K246">
        <f t="shared" si="13"/>
        <v>56.3</v>
      </c>
      <c r="L246">
        <f t="shared" si="14"/>
        <v>60</v>
      </c>
      <c r="M246">
        <f t="shared" si="15"/>
        <v>57.779999999999994</v>
      </c>
    </row>
    <row r="247" spans="1:13" x14ac:dyDescent="0.45">
      <c r="A247">
        <v>246</v>
      </c>
      <c r="B247" t="s">
        <v>15</v>
      </c>
      <c r="C247">
        <v>273</v>
      </c>
      <c r="D247">
        <v>94</v>
      </c>
      <c r="E247">
        <v>50</v>
      </c>
      <c r="F247">
        <v>21</v>
      </c>
      <c r="G247" t="s">
        <v>16</v>
      </c>
      <c r="H247" t="s">
        <v>16</v>
      </c>
      <c r="I247" t="s">
        <v>16</v>
      </c>
      <c r="J247">
        <f t="shared" si="12"/>
        <v>84.600000000000009</v>
      </c>
      <c r="K247">
        <f t="shared" si="13"/>
        <v>68.900000000000006</v>
      </c>
      <c r="L247">
        <f t="shared" si="14"/>
        <v>47</v>
      </c>
      <c r="M247">
        <f t="shared" si="15"/>
        <v>60.14</v>
      </c>
    </row>
    <row r="248" spans="1:13" x14ac:dyDescent="0.45">
      <c r="A248">
        <v>247</v>
      </c>
      <c r="B248" t="s">
        <v>13</v>
      </c>
      <c r="C248">
        <v>1218</v>
      </c>
      <c r="D248">
        <v>77</v>
      </c>
      <c r="E248">
        <v>51</v>
      </c>
      <c r="F248">
        <v>27</v>
      </c>
      <c r="G248" t="s">
        <v>14</v>
      </c>
      <c r="H248" t="s">
        <v>14</v>
      </c>
      <c r="I248" t="s">
        <v>16</v>
      </c>
      <c r="J248">
        <f t="shared" si="12"/>
        <v>84.7</v>
      </c>
      <c r="K248">
        <f t="shared" si="13"/>
        <v>75.3</v>
      </c>
      <c r="L248">
        <f t="shared" si="14"/>
        <v>53.5</v>
      </c>
      <c r="M248">
        <f t="shared" si="15"/>
        <v>66.58</v>
      </c>
    </row>
    <row r="249" spans="1:13" x14ac:dyDescent="0.45">
      <c r="A249">
        <v>248</v>
      </c>
      <c r="B249" t="s">
        <v>15</v>
      </c>
      <c r="C249">
        <v>276</v>
      </c>
      <c r="D249">
        <v>43</v>
      </c>
      <c r="E249">
        <v>40</v>
      </c>
      <c r="F249">
        <v>29</v>
      </c>
      <c r="G249" t="s">
        <v>16</v>
      </c>
      <c r="H249" t="s">
        <v>16</v>
      </c>
      <c r="I249" t="s">
        <v>14</v>
      </c>
      <c r="J249">
        <f t="shared" si="12"/>
        <v>38.700000000000003</v>
      </c>
      <c r="K249">
        <f t="shared" si="13"/>
        <v>76.099999999999994</v>
      </c>
      <c r="L249">
        <f t="shared" si="14"/>
        <v>21.5</v>
      </c>
      <c r="M249">
        <f t="shared" si="15"/>
        <v>54.26</v>
      </c>
    </row>
    <row r="250" spans="1:13" x14ac:dyDescent="0.45">
      <c r="A250">
        <v>249</v>
      </c>
      <c r="B250" t="s">
        <v>15</v>
      </c>
      <c r="C250">
        <v>1779</v>
      </c>
      <c r="D250">
        <v>76</v>
      </c>
      <c r="E250">
        <v>22</v>
      </c>
      <c r="F250">
        <v>21</v>
      </c>
      <c r="G250" t="s">
        <v>16</v>
      </c>
      <c r="H250" t="s">
        <v>14</v>
      </c>
      <c r="I250" t="s">
        <v>16</v>
      </c>
      <c r="J250">
        <f t="shared" si="12"/>
        <v>75.240000000000009</v>
      </c>
      <c r="K250">
        <f t="shared" si="13"/>
        <v>40.9</v>
      </c>
      <c r="L250">
        <f t="shared" si="14"/>
        <v>43</v>
      </c>
      <c r="M250">
        <f t="shared" si="15"/>
        <v>41.739999999999995</v>
      </c>
    </row>
    <row r="251" spans="1:13" x14ac:dyDescent="0.45">
      <c r="A251">
        <v>250</v>
      </c>
      <c r="B251" t="s">
        <v>13</v>
      </c>
      <c r="C251">
        <v>1453</v>
      </c>
      <c r="D251">
        <v>56</v>
      </c>
      <c r="E251">
        <v>56</v>
      </c>
      <c r="F251">
        <v>32</v>
      </c>
      <c r="G251" t="s">
        <v>16</v>
      </c>
      <c r="H251" t="s">
        <v>16</v>
      </c>
      <c r="I251" t="s">
        <v>14</v>
      </c>
      <c r="J251">
        <f t="shared" si="12"/>
        <v>56</v>
      </c>
      <c r="K251">
        <f t="shared" si="13"/>
        <v>94.8</v>
      </c>
      <c r="L251">
        <f t="shared" si="14"/>
        <v>28</v>
      </c>
      <c r="M251">
        <f t="shared" si="15"/>
        <v>68.08</v>
      </c>
    </row>
    <row r="252" spans="1:13" x14ac:dyDescent="0.45">
      <c r="A252">
        <v>251</v>
      </c>
      <c r="B252" t="s">
        <v>17</v>
      </c>
      <c r="C252">
        <v>720</v>
      </c>
      <c r="D252">
        <v>66</v>
      </c>
      <c r="E252">
        <v>25</v>
      </c>
      <c r="F252">
        <v>26</v>
      </c>
      <c r="G252" t="s">
        <v>14</v>
      </c>
      <c r="H252" t="s">
        <v>14</v>
      </c>
      <c r="I252" t="s">
        <v>16</v>
      </c>
      <c r="J252">
        <f t="shared" si="12"/>
        <v>79.860000000000014</v>
      </c>
      <c r="K252">
        <f t="shared" si="13"/>
        <v>48.4</v>
      </c>
      <c r="L252">
        <f t="shared" si="14"/>
        <v>48</v>
      </c>
      <c r="M252">
        <f t="shared" si="15"/>
        <v>48.24</v>
      </c>
    </row>
    <row r="253" spans="1:13" x14ac:dyDescent="0.45">
      <c r="A253">
        <v>252</v>
      </c>
      <c r="B253" t="s">
        <v>15</v>
      </c>
      <c r="C253">
        <v>397</v>
      </c>
      <c r="D253">
        <v>67</v>
      </c>
      <c r="E253">
        <v>23</v>
      </c>
      <c r="F253">
        <v>32</v>
      </c>
      <c r="G253" t="s">
        <v>14</v>
      </c>
      <c r="H253" t="s">
        <v>14</v>
      </c>
      <c r="I253" t="s">
        <v>16</v>
      </c>
      <c r="J253">
        <f t="shared" si="12"/>
        <v>66.330000000000013</v>
      </c>
      <c r="K253">
        <f t="shared" si="13"/>
        <v>51.8</v>
      </c>
      <c r="L253">
        <f t="shared" si="14"/>
        <v>48.5</v>
      </c>
      <c r="M253">
        <f t="shared" si="15"/>
        <v>50.480000000000004</v>
      </c>
    </row>
    <row r="254" spans="1:13" x14ac:dyDescent="0.45">
      <c r="A254">
        <v>253</v>
      </c>
      <c r="B254" t="s">
        <v>17</v>
      </c>
      <c r="C254">
        <v>625</v>
      </c>
      <c r="D254">
        <v>62</v>
      </c>
      <c r="E254">
        <v>49</v>
      </c>
      <c r="F254">
        <v>28</v>
      </c>
      <c r="G254" t="s">
        <v>14</v>
      </c>
      <c r="H254" t="s">
        <v>14</v>
      </c>
      <c r="I254" t="s">
        <v>14</v>
      </c>
      <c r="J254">
        <f t="shared" si="12"/>
        <v>75.02000000000001</v>
      </c>
      <c r="K254">
        <f t="shared" si="13"/>
        <v>84.2</v>
      </c>
      <c r="L254">
        <f t="shared" si="14"/>
        <v>46</v>
      </c>
      <c r="M254">
        <f t="shared" si="15"/>
        <v>68.92</v>
      </c>
    </row>
    <row r="255" spans="1:13" x14ac:dyDescent="0.45">
      <c r="A255">
        <v>254</v>
      </c>
      <c r="B255" t="s">
        <v>17</v>
      </c>
      <c r="C255">
        <v>1081</v>
      </c>
      <c r="D255">
        <v>58</v>
      </c>
      <c r="E255">
        <v>21</v>
      </c>
      <c r="F255">
        <v>40</v>
      </c>
      <c r="G255" t="s">
        <v>14</v>
      </c>
      <c r="H255" t="s">
        <v>14</v>
      </c>
      <c r="I255" t="s">
        <v>14</v>
      </c>
      <c r="J255">
        <f t="shared" si="12"/>
        <v>70.180000000000007</v>
      </c>
      <c r="K255">
        <f t="shared" si="13"/>
        <v>67</v>
      </c>
      <c r="L255">
        <f t="shared" si="14"/>
        <v>44</v>
      </c>
      <c r="M255">
        <f t="shared" si="15"/>
        <v>57.8</v>
      </c>
    </row>
    <row r="256" spans="1:13" x14ac:dyDescent="0.45">
      <c r="A256">
        <v>255</v>
      </c>
      <c r="B256" t="s">
        <v>15</v>
      </c>
      <c r="C256">
        <v>1193</v>
      </c>
      <c r="D256">
        <v>67</v>
      </c>
      <c r="E256">
        <v>58</v>
      </c>
      <c r="F256">
        <v>30</v>
      </c>
      <c r="G256" t="s">
        <v>14</v>
      </c>
      <c r="H256" t="s">
        <v>16</v>
      </c>
      <c r="I256" t="s">
        <v>16</v>
      </c>
      <c r="J256">
        <f t="shared" si="12"/>
        <v>60.300000000000004</v>
      </c>
      <c r="K256">
        <f t="shared" si="13"/>
        <v>85</v>
      </c>
      <c r="L256">
        <f t="shared" si="14"/>
        <v>43.5</v>
      </c>
      <c r="M256">
        <f t="shared" si="15"/>
        <v>68.400000000000006</v>
      </c>
    </row>
    <row r="257" spans="1:13" x14ac:dyDescent="0.45">
      <c r="A257">
        <v>256</v>
      </c>
      <c r="B257" t="s">
        <v>17</v>
      </c>
      <c r="C257">
        <v>720</v>
      </c>
      <c r="D257">
        <v>41</v>
      </c>
      <c r="E257">
        <v>37</v>
      </c>
      <c r="F257">
        <v>23</v>
      </c>
      <c r="G257" t="s">
        <v>16</v>
      </c>
      <c r="H257" t="s">
        <v>14</v>
      </c>
      <c r="I257" t="s">
        <v>14</v>
      </c>
      <c r="J257">
        <f t="shared" si="12"/>
        <v>49.610000000000007</v>
      </c>
      <c r="K257">
        <f t="shared" si="13"/>
        <v>67.7</v>
      </c>
      <c r="L257">
        <f t="shared" si="14"/>
        <v>25.5</v>
      </c>
      <c r="M257">
        <f t="shared" si="15"/>
        <v>50.82</v>
      </c>
    </row>
    <row r="258" spans="1:13" x14ac:dyDescent="0.45">
      <c r="A258">
        <v>257</v>
      </c>
      <c r="B258" t="s">
        <v>13</v>
      </c>
      <c r="C258">
        <v>1786</v>
      </c>
      <c r="D258">
        <v>89</v>
      </c>
      <c r="E258">
        <v>23</v>
      </c>
      <c r="F258">
        <v>21</v>
      </c>
      <c r="G258" t="s">
        <v>14</v>
      </c>
      <c r="H258" t="s">
        <v>14</v>
      </c>
      <c r="I258" t="s">
        <v>16</v>
      </c>
      <c r="J258">
        <f t="shared" ref="J258:J321" si="16">D258*(IF(B258="Residential",0.9,IF(B258="Commercial",1,IF(B258="Infrastructure",1.1,1))))*(IF(H258="Yes",1.1,1))</f>
        <v>97.9</v>
      </c>
      <c r="K258">
        <f t="shared" ref="K258:K321" si="17">MIN((((E258*100)+(F258*90))/100)+IF(I258="Yes",10,0),100)</f>
        <v>41.9</v>
      </c>
      <c r="L258">
        <f t="shared" ref="L258:L321" si="18">MIN((D258*0.5)+IF(G258="Yes",10,0)+IF(H258="Yes",5,0),100)</f>
        <v>59.5</v>
      </c>
      <c r="M258">
        <f t="shared" ref="M258:M321" si="19">MIN((K258*0.6)+(L258*0.4),100)</f>
        <v>48.94</v>
      </c>
    </row>
    <row r="259" spans="1:13" x14ac:dyDescent="0.45">
      <c r="A259">
        <v>258</v>
      </c>
      <c r="B259" t="s">
        <v>17</v>
      </c>
      <c r="C259">
        <v>392</v>
      </c>
      <c r="D259">
        <v>45</v>
      </c>
      <c r="E259">
        <v>59</v>
      </c>
      <c r="F259">
        <v>34</v>
      </c>
      <c r="G259" t="s">
        <v>14</v>
      </c>
      <c r="H259" t="s">
        <v>16</v>
      </c>
      <c r="I259" t="s">
        <v>14</v>
      </c>
      <c r="J259">
        <f t="shared" si="16"/>
        <v>49.500000000000007</v>
      </c>
      <c r="K259">
        <f t="shared" si="17"/>
        <v>99.6</v>
      </c>
      <c r="L259">
        <f t="shared" si="18"/>
        <v>32.5</v>
      </c>
      <c r="M259">
        <f t="shared" si="19"/>
        <v>72.759999999999991</v>
      </c>
    </row>
    <row r="260" spans="1:13" x14ac:dyDescent="0.45">
      <c r="A260">
        <v>259</v>
      </c>
      <c r="B260" t="s">
        <v>17</v>
      </c>
      <c r="C260">
        <v>466</v>
      </c>
      <c r="D260">
        <v>58</v>
      </c>
      <c r="E260">
        <v>51</v>
      </c>
      <c r="F260">
        <v>18</v>
      </c>
      <c r="G260" t="s">
        <v>16</v>
      </c>
      <c r="H260" t="s">
        <v>14</v>
      </c>
      <c r="I260" t="s">
        <v>14</v>
      </c>
      <c r="J260">
        <f t="shared" si="16"/>
        <v>70.180000000000007</v>
      </c>
      <c r="K260">
        <f t="shared" si="17"/>
        <v>77.2</v>
      </c>
      <c r="L260">
        <f t="shared" si="18"/>
        <v>34</v>
      </c>
      <c r="M260">
        <f t="shared" si="19"/>
        <v>59.92</v>
      </c>
    </row>
    <row r="261" spans="1:13" x14ac:dyDescent="0.45">
      <c r="A261">
        <v>260</v>
      </c>
      <c r="B261" t="s">
        <v>13</v>
      </c>
      <c r="C261">
        <v>265</v>
      </c>
      <c r="D261">
        <v>83</v>
      </c>
      <c r="E261">
        <v>57</v>
      </c>
      <c r="F261">
        <v>19</v>
      </c>
      <c r="G261" t="s">
        <v>14</v>
      </c>
      <c r="H261" t="s">
        <v>14</v>
      </c>
      <c r="I261" t="s">
        <v>16</v>
      </c>
      <c r="J261">
        <f t="shared" si="16"/>
        <v>91.300000000000011</v>
      </c>
      <c r="K261">
        <f t="shared" si="17"/>
        <v>74.099999999999994</v>
      </c>
      <c r="L261">
        <f t="shared" si="18"/>
        <v>56.5</v>
      </c>
      <c r="M261">
        <f t="shared" si="19"/>
        <v>67.06</v>
      </c>
    </row>
    <row r="262" spans="1:13" x14ac:dyDescent="0.45">
      <c r="A262">
        <v>261</v>
      </c>
      <c r="B262" t="s">
        <v>13</v>
      </c>
      <c r="C262">
        <v>1569</v>
      </c>
      <c r="D262">
        <v>89</v>
      </c>
      <c r="E262">
        <v>54</v>
      </c>
      <c r="F262">
        <v>18</v>
      </c>
      <c r="G262" t="s">
        <v>16</v>
      </c>
      <c r="H262" t="s">
        <v>16</v>
      </c>
      <c r="I262" t="s">
        <v>14</v>
      </c>
      <c r="J262">
        <f t="shared" si="16"/>
        <v>89</v>
      </c>
      <c r="K262">
        <f t="shared" si="17"/>
        <v>80.2</v>
      </c>
      <c r="L262">
        <f t="shared" si="18"/>
        <v>44.5</v>
      </c>
      <c r="M262">
        <f t="shared" si="19"/>
        <v>65.92</v>
      </c>
    </row>
    <row r="263" spans="1:13" x14ac:dyDescent="0.45">
      <c r="A263">
        <v>262</v>
      </c>
      <c r="B263" t="s">
        <v>17</v>
      </c>
      <c r="C263">
        <v>275</v>
      </c>
      <c r="D263">
        <v>52</v>
      </c>
      <c r="E263">
        <v>48</v>
      </c>
      <c r="F263">
        <v>29</v>
      </c>
      <c r="G263" t="s">
        <v>14</v>
      </c>
      <c r="H263" t="s">
        <v>16</v>
      </c>
      <c r="I263" t="s">
        <v>14</v>
      </c>
      <c r="J263">
        <f t="shared" si="16"/>
        <v>57.2</v>
      </c>
      <c r="K263">
        <f t="shared" si="17"/>
        <v>84.1</v>
      </c>
      <c r="L263">
        <f t="shared" si="18"/>
        <v>36</v>
      </c>
      <c r="M263">
        <f t="shared" si="19"/>
        <v>64.86</v>
      </c>
    </row>
    <row r="264" spans="1:13" x14ac:dyDescent="0.45">
      <c r="A264">
        <v>263</v>
      </c>
      <c r="B264" t="s">
        <v>13</v>
      </c>
      <c r="C264">
        <v>1503</v>
      </c>
      <c r="D264">
        <v>52</v>
      </c>
      <c r="E264">
        <v>37</v>
      </c>
      <c r="F264">
        <v>17</v>
      </c>
      <c r="G264" t="s">
        <v>16</v>
      </c>
      <c r="H264" t="s">
        <v>14</v>
      </c>
      <c r="I264" t="s">
        <v>16</v>
      </c>
      <c r="J264">
        <f t="shared" si="16"/>
        <v>57.2</v>
      </c>
      <c r="K264">
        <f t="shared" si="17"/>
        <v>52.3</v>
      </c>
      <c r="L264">
        <f t="shared" si="18"/>
        <v>31</v>
      </c>
      <c r="M264">
        <f t="shared" si="19"/>
        <v>43.779999999999994</v>
      </c>
    </row>
    <row r="265" spans="1:13" x14ac:dyDescent="0.45">
      <c r="A265">
        <v>264</v>
      </c>
      <c r="B265" t="s">
        <v>13</v>
      </c>
      <c r="C265">
        <v>1512</v>
      </c>
      <c r="D265">
        <v>43</v>
      </c>
      <c r="E265">
        <v>35</v>
      </c>
      <c r="F265">
        <v>35</v>
      </c>
      <c r="G265" t="s">
        <v>14</v>
      </c>
      <c r="H265" t="s">
        <v>14</v>
      </c>
      <c r="I265" t="s">
        <v>14</v>
      </c>
      <c r="J265">
        <f t="shared" si="16"/>
        <v>47.300000000000004</v>
      </c>
      <c r="K265">
        <f t="shared" si="17"/>
        <v>76.5</v>
      </c>
      <c r="L265">
        <f t="shared" si="18"/>
        <v>36.5</v>
      </c>
      <c r="M265">
        <f t="shared" si="19"/>
        <v>60.5</v>
      </c>
    </row>
    <row r="266" spans="1:13" x14ac:dyDescent="0.45">
      <c r="A266">
        <v>265</v>
      </c>
      <c r="B266" t="s">
        <v>15</v>
      </c>
      <c r="C266">
        <v>1323</v>
      </c>
      <c r="D266">
        <v>56</v>
      </c>
      <c r="E266">
        <v>40</v>
      </c>
      <c r="F266">
        <v>30</v>
      </c>
      <c r="G266" t="s">
        <v>14</v>
      </c>
      <c r="H266" t="s">
        <v>14</v>
      </c>
      <c r="I266" t="s">
        <v>14</v>
      </c>
      <c r="J266">
        <f t="shared" si="16"/>
        <v>55.440000000000005</v>
      </c>
      <c r="K266">
        <f t="shared" si="17"/>
        <v>77</v>
      </c>
      <c r="L266">
        <f t="shared" si="18"/>
        <v>43</v>
      </c>
      <c r="M266">
        <f t="shared" si="19"/>
        <v>63.399999999999991</v>
      </c>
    </row>
    <row r="267" spans="1:13" x14ac:dyDescent="0.45">
      <c r="A267">
        <v>266</v>
      </c>
      <c r="B267" t="s">
        <v>13</v>
      </c>
      <c r="C267">
        <v>171</v>
      </c>
      <c r="D267">
        <v>85</v>
      </c>
      <c r="E267">
        <v>46</v>
      </c>
      <c r="F267">
        <v>34</v>
      </c>
      <c r="G267" t="s">
        <v>14</v>
      </c>
      <c r="H267" t="s">
        <v>14</v>
      </c>
      <c r="I267" t="s">
        <v>14</v>
      </c>
      <c r="J267">
        <f t="shared" si="16"/>
        <v>93.500000000000014</v>
      </c>
      <c r="K267">
        <f t="shared" si="17"/>
        <v>86.6</v>
      </c>
      <c r="L267">
        <f t="shared" si="18"/>
        <v>57.5</v>
      </c>
      <c r="M267">
        <f t="shared" si="19"/>
        <v>74.959999999999994</v>
      </c>
    </row>
    <row r="268" spans="1:13" x14ac:dyDescent="0.45">
      <c r="A268">
        <v>267</v>
      </c>
      <c r="B268" t="s">
        <v>17</v>
      </c>
      <c r="C268">
        <v>1907</v>
      </c>
      <c r="D268">
        <v>41</v>
      </c>
      <c r="E268">
        <v>51</v>
      </c>
      <c r="F268">
        <v>15</v>
      </c>
      <c r="G268" t="s">
        <v>16</v>
      </c>
      <c r="H268" t="s">
        <v>14</v>
      </c>
      <c r="I268" t="s">
        <v>16</v>
      </c>
      <c r="J268">
        <f t="shared" si="16"/>
        <v>49.610000000000007</v>
      </c>
      <c r="K268">
        <f t="shared" si="17"/>
        <v>64.5</v>
      </c>
      <c r="L268">
        <f t="shared" si="18"/>
        <v>25.5</v>
      </c>
      <c r="M268">
        <f t="shared" si="19"/>
        <v>48.9</v>
      </c>
    </row>
    <row r="269" spans="1:13" x14ac:dyDescent="0.45">
      <c r="A269">
        <v>268</v>
      </c>
      <c r="B269" t="s">
        <v>13</v>
      </c>
      <c r="C269">
        <v>1996</v>
      </c>
      <c r="D269">
        <v>89</v>
      </c>
      <c r="E269">
        <v>49</v>
      </c>
      <c r="F269">
        <v>35</v>
      </c>
      <c r="G269" t="s">
        <v>16</v>
      </c>
      <c r="H269" t="s">
        <v>16</v>
      </c>
      <c r="I269" t="s">
        <v>16</v>
      </c>
      <c r="J269">
        <f t="shared" si="16"/>
        <v>89</v>
      </c>
      <c r="K269">
        <f t="shared" si="17"/>
        <v>80.5</v>
      </c>
      <c r="L269">
        <f t="shared" si="18"/>
        <v>44.5</v>
      </c>
      <c r="M269">
        <f t="shared" si="19"/>
        <v>66.099999999999994</v>
      </c>
    </row>
    <row r="270" spans="1:13" x14ac:dyDescent="0.45">
      <c r="A270">
        <v>269</v>
      </c>
      <c r="B270" t="s">
        <v>15</v>
      </c>
      <c r="C270">
        <v>1606</v>
      </c>
      <c r="D270">
        <v>54</v>
      </c>
      <c r="E270">
        <v>55</v>
      </c>
      <c r="F270">
        <v>19</v>
      </c>
      <c r="G270" t="s">
        <v>16</v>
      </c>
      <c r="H270" t="s">
        <v>16</v>
      </c>
      <c r="I270" t="s">
        <v>16</v>
      </c>
      <c r="J270">
        <f t="shared" si="16"/>
        <v>48.6</v>
      </c>
      <c r="K270">
        <f t="shared" si="17"/>
        <v>72.099999999999994</v>
      </c>
      <c r="L270">
        <f t="shared" si="18"/>
        <v>27</v>
      </c>
      <c r="M270">
        <f t="shared" si="19"/>
        <v>54.06</v>
      </c>
    </row>
    <row r="271" spans="1:13" x14ac:dyDescent="0.45">
      <c r="A271">
        <v>270</v>
      </c>
      <c r="B271" t="s">
        <v>17</v>
      </c>
      <c r="C271">
        <v>1671</v>
      </c>
      <c r="D271">
        <v>86</v>
      </c>
      <c r="E271">
        <v>27</v>
      </c>
      <c r="F271">
        <v>29</v>
      </c>
      <c r="G271" t="s">
        <v>16</v>
      </c>
      <c r="H271" t="s">
        <v>16</v>
      </c>
      <c r="I271" t="s">
        <v>16</v>
      </c>
      <c r="J271">
        <f t="shared" si="16"/>
        <v>94.600000000000009</v>
      </c>
      <c r="K271">
        <f t="shared" si="17"/>
        <v>53.1</v>
      </c>
      <c r="L271">
        <f t="shared" si="18"/>
        <v>43</v>
      </c>
      <c r="M271">
        <f t="shared" si="19"/>
        <v>49.06</v>
      </c>
    </row>
    <row r="272" spans="1:13" x14ac:dyDescent="0.45">
      <c r="A272">
        <v>271</v>
      </c>
      <c r="B272" t="s">
        <v>13</v>
      </c>
      <c r="C272">
        <v>1184</v>
      </c>
      <c r="D272">
        <v>50</v>
      </c>
      <c r="E272">
        <v>47</v>
      </c>
      <c r="F272">
        <v>21</v>
      </c>
      <c r="G272" t="s">
        <v>16</v>
      </c>
      <c r="H272" t="s">
        <v>14</v>
      </c>
      <c r="I272" t="s">
        <v>16</v>
      </c>
      <c r="J272">
        <f t="shared" si="16"/>
        <v>55.000000000000007</v>
      </c>
      <c r="K272">
        <f t="shared" si="17"/>
        <v>65.900000000000006</v>
      </c>
      <c r="L272">
        <f t="shared" si="18"/>
        <v>30</v>
      </c>
      <c r="M272">
        <f t="shared" si="19"/>
        <v>51.54</v>
      </c>
    </row>
    <row r="273" spans="1:13" x14ac:dyDescent="0.45">
      <c r="A273">
        <v>272</v>
      </c>
      <c r="B273" t="s">
        <v>15</v>
      </c>
      <c r="C273">
        <v>1465</v>
      </c>
      <c r="D273">
        <v>61</v>
      </c>
      <c r="E273">
        <v>60</v>
      </c>
      <c r="F273">
        <v>29</v>
      </c>
      <c r="G273" t="s">
        <v>16</v>
      </c>
      <c r="H273" t="s">
        <v>16</v>
      </c>
      <c r="I273" t="s">
        <v>14</v>
      </c>
      <c r="J273">
        <f t="shared" si="16"/>
        <v>54.9</v>
      </c>
      <c r="K273">
        <f t="shared" si="17"/>
        <v>96.1</v>
      </c>
      <c r="L273">
        <f t="shared" si="18"/>
        <v>30.5</v>
      </c>
      <c r="M273">
        <f t="shared" si="19"/>
        <v>69.86</v>
      </c>
    </row>
    <row r="274" spans="1:13" x14ac:dyDescent="0.45">
      <c r="A274">
        <v>273</v>
      </c>
      <c r="B274" t="s">
        <v>13</v>
      </c>
      <c r="C274">
        <v>1498</v>
      </c>
      <c r="D274">
        <v>95</v>
      </c>
      <c r="E274">
        <v>36</v>
      </c>
      <c r="F274">
        <v>31</v>
      </c>
      <c r="G274" t="s">
        <v>14</v>
      </c>
      <c r="H274" t="s">
        <v>14</v>
      </c>
      <c r="I274" t="s">
        <v>14</v>
      </c>
      <c r="J274">
        <f t="shared" si="16"/>
        <v>104.50000000000001</v>
      </c>
      <c r="K274">
        <f t="shared" si="17"/>
        <v>73.900000000000006</v>
      </c>
      <c r="L274">
        <f t="shared" si="18"/>
        <v>62.5</v>
      </c>
      <c r="M274">
        <f t="shared" si="19"/>
        <v>69.34</v>
      </c>
    </row>
    <row r="275" spans="1:13" x14ac:dyDescent="0.45">
      <c r="A275">
        <v>274</v>
      </c>
      <c r="B275" t="s">
        <v>15</v>
      </c>
      <c r="C275">
        <v>1421</v>
      </c>
      <c r="D275">
        <v>79</v>
      </c>
      <c r="E275">
        <v>60</v>
      </c>
      <c r="F275">
        <v>38</v>
      </c>
      <c r="G275" t="s">
        <v>16</v>
      </c>
      <c r="H275" t="s">
        <v>16</v>
      </c>
      <c r="I275" t="s">
        <v>16</v>
      </c>
      <c r="J275">
        <f t="shared" si="16"/>
        <v>71.100000000000009</v>
      </c>
      <c r="K275">
        <f t="shared" si="17"/>
        <v>94.2</v>
      </c>
      <c r="L275">
        <f t="shared" si="18"/>
        <v>39.5</v>
      </c>
      <c r="M275">
        <f t="shared" si="19"/>
        <v>72.320000000000007</v>
      </c>
    </row>
    <row r="276" spans="1:13" x14ac:dyDescent="0.45">
      <c r="A276">
        <v>275</v>
      </c>
      <c r="B276" t="s">
        <v>15</v>
      </c>
      <c r="C276">
        <v>1849</v>
      </c>
      <c r="D276">
        <v>85</v>
      </c>
      <c r="E276">
        <v>47</v>
      </c>
      <c r="F276">
        <v>22</v>
      </c>
      <c r="G276" t="s">
        <v>16</v>
      </c>
      <c r="H276" t="s">
        <v>14</v>
      </c>
      <c r="I276" t="s">
        <v>16</v>
      </c>
      <c r="J276">
        <f t="shared" si="16"/>
        <v>84.15</v>
      </c>
      <c r="K276">
        <f t="shared" si="17"/>
        <v>66.8</v>
      </c>
      <c r="L276">
        <f t="shared" si="18"/>
        <v>47.5</v>
      </c>
      <c r="M276">
        <f t="shared" si="19"/>
        <v>59.08</v>
      </c>
    </row>
    <row r="277" spans="1:13" x14ac:dyDescent="0.45">
      <c r="A277">
        <v>276</v>
      </c>
      <c r="B277" t="s">
        <v>15</v>
      </c>
      <c r="C277">
        <v>1567</v>
      </c>
      <c r="D277">
        <v>83</v>
      </c>
      <c r="E277">
        <v>26</v>
      </c>
      <c r="F277">
        <v>24</v>
      </c>
      <c r="G277" t="s">
        <v>14</v>
      </c>
      <c r="H277" t="s">
        <v>16</v>
      </c>
      <c r="I277" t="s">
        <v>16</v>
      </c>
      <c r="J277">
        <f t="shared" si="16"/>
        <v>74.7</v>
      </c>
      <c r="K277">
        <f t="shared" si="17"/>
        <v>47.6</v>
      </c>
      <c r="L277">
        <f t="shared" si="18"/>
        <v>51.5</v>
      </c>
      <c r="M277">
        <f t="shared" si="19"/>
        <v>49.16</v>
      </c>
    </row>
    <row r="278" spans="1:13" x14ac:dyDescent="0.45">
      <c r="A278">
        <v>277</v>
      </c>
      <c r="B278" t="s">
        <v>13</v>
      </c>
      <c r="C278">
        <v>1196</v>
      </c>
      <c r="D278">
        <v>43</v>
      </c>
      <c r="E278">
        <v>37</v>
      </c>
      <c r="F278">
        <v>37</v>
      </c>
      <c r="G278" t="s">
        <v>16</v>
      </c>
      <c r="H278" t="s">
        <v>14</v>
      </c>
      <c r="I278" t="s">
        <v>16</v>
      </c>
      <c r="J278">
        <f t="shared" si="16"/>
        <v>47.300000000000004</v>
      </c>
      <c r="K278">
        <f t="shared" si="17"/>
        <v>70.3</v>
      </c>
      <c r="L278">
        <f t="shared" si="18"/>
        <v>26.5</v>
      </c>
      <c r="M278">
        <f t="shared" si="19"/>
        <v>52.78</v>
      </c>
    </row>
    <row r="279" spans="1:13" x14ac:dyDescent="0.45">
      <c r="A279">
        <v>278</v>
      </c>
      <c r="B279" t="s">
        <v>15</v>
      </c>
      <c r="C279">
        <v>649</v>
      </c>
      <c r="D279">
        <v>63</v>
      </c>
      <c r="E279">
        <v>31</v>
      </c>
      <c r="F279">
        <v>38</v>
      </c>
      <c r="G279" t="s">
        <v>16</v>
      </c>
      <c r="H279" t="s">
        <v>16</v>
      </c>
      <c r="I279" t="s">
        <v>14</v>
      </c>
      <c r="J279">
        <f t="shared" si="16"/>
        <v>56.7</v>
      </c>
      <c r="K279">
        <f t="shared" si="17"/>
        <v>75.2</v>
      </c>
      <c r="L279">
        <f t="shared" si="18"/>
        <v>31.5</v>
      </c>
      <c r="M279">
        <f t="shared" si="19"/>
        <v>57.72</v>
      </c>
    </row>
    <row r="280" spans="1:13" x14ac:dyDescent="0.45">
      <c r="A280">
        <v>279</v>
      </c>
      <c r="B280" t="s">
        <v>15</v>
      </c>
      <c r="C280">
        <v>270</v>
      </c>
      <c r="D280">
        <v>78</v>
      </c>
      <c r="E280">
        <v>32</v>
      </c>
      <c r="F280">
        <v>38</v>
      </c>
      <c r="G280" t="s">
        <v>16</v>
      </c>
      <c r="H280" t="s">
        <v>14</v>
      </c>
      <c r="I280" t="s">
        <v>16</v>
      </c>
      <c r="J280">
        <f t="shared" si="16"/>
        <v>77.220000000000013</v>
      </c>
      <c r="K280">
        <f t="shared" si="17"/>
        <v>66.2</v>
      </c>
      <c r="L280">
        <f t="shared" si="18"/>
        <v>44</v>
      </c>
      <c r="M280">
        <f t="shared" si="19"/>
        <v>57.32</v>
      </c>
    </row>
    <row r="281" spans="1:13" x14ac:dyDescent="0.45">
      <c r="A281">
        <v>280</v>
      </c>
      <c r="B281" t="s">
        <v>17</v>
      </c>
      <c r="C281">
        <v>540</v>
      </c>
      <c r="D281">
        <v>48</v>
      </c>
      <c r="E281">
        <v>24</v>
      </c>
      <c r="F281">
        <v>34</v>
      </c>
      <c r="G281" t="s">
        <v>14</v>
      </c>
      <c r="H281" t="s">
        <v>14</v>
      </c>
      <c r="I281" t="s">
        <v>14</v>
      </c>
      <c r="J281">
        <f t="shared" si="16"/>
        <v>58.080000000000013</v>
      </c>
      <c r="K281">
        <f t="shared" si="17"/>
        <v>64.599999999999994</v>
      </c>
      <c r="L281">
        <f t="shared" si="18"/>
        <v>39</v>
      </c>
      <c r="M281">
        <f t="shared" si="19"/>
        <v>54.36</v>
      </c>
    </row>
    <row r="282" spans="1:13" x14ac:dyDescent="0.45">
      <c r="A282">
        <v>281</v>
      </c>
      <c r="B282" t="s">
        <v>17</v>
      </c>
      <c r="C282">
        <v>419</v>
      </c>
      <c r="D282">
        <v>44</v>
      </c>
      <c r="E282">
        <v>20</v>
      </c>
      <c r="F282">
        <v>16</v>
      </c>
      <c r="G282" t="s">
        <v>16</v>
      </c>
      <c r="H282" t="s">
        <v>16</v>
      </c>
      <c r="I282" t="s">
        <v>14</v>
      </c>
      <c r="J282">
        <f t="shared" si="16"/>
        <v>48.400000000000006</v>
      </c>
      <c r="K282">
        <f t="shared" si="17"/>
        <v>44.4</v>
      </c>
      <c r="L282">
        <f t="shared" si="18"/>
        <v>22</v>
      </c>
      <c r="M282">
        <f t="shared" si="19"/>
        <v>35.44</v>
      </c>
    </row>
    <row r="283" spans="1:13" x14ac:dyDescent="0.45">
      <c r="A283">
        <v>282</v>
      </c>
      <c r="B283" t="s">
        <v>15</v>
      </c>
      <c r="C283">
        <v>1729</v>
      </c>
      <c r="D283">
        <v>88</v>
      </c>
      <c r="E283">
        <v>31</v>
      </c>
      <c r="F283">
        <v>24</v>
      </c>
      <c r="G283" t="s">
        <v>16</v>
      </c>
      <c r="H283" t="s">
        <v>14</v>
      </c>
      <c r="I283" t="s">
        <v>16</v>
      </c>
      <c r="J283">
        <f t="shared" si="16"/>
        <v>87.12</v>
      </c>
      <c r="K283">
        <f t="shared" si="17"/>
        <v>52.6</v>
      </c>
      <c r="L283">
        <f t="shared" si="18"/>
        <v>49</v>
      </c>
      <c r="M283">
        <f t="shared" si="19"/>
        <v>51.16</v>
      </c>
    </row>
    <row r="284" spans="1:13" x14ac:dyDescent="0.45">
      <c r="A284">
        <v>283</v>
      </c>
      <c r="B284" t="s">
        <v>13</v>
      </c>
      <c r="C284">
        <v>1875</v>
      </c>
      <c r="D284">
        <v>70</v>
      </c>
      <c r="E284">
        <v>28</v>
      </c>
      <c r="F284">
        <v>32</v>
      </c>
      <c r="G284" t="s">
        <v>16</v>
      </c>
      <c r="H284" t="s">
        <v>14</v>
      </c>
      <c r="I284" t="s">
        <v>16</v>
      </c>
      <c r="J284">
        <f t="shared" si="16"/>
        <v>77</v>
      </c>
      <c r="K284">
        <f t="shared" si="17"/>
        <v>56.8</v>
      </c>
      <c r="L284">
        <f t="shared" si="18"/>
        <v>40</v>
      </c>
      <c r="M284">
        <f t="shared" si="19"/>
        <v>50.08</v>
      </c>
    </row>
    <row r="285" spans="1:13" x14ac:dyDescent="0.45">
      <c r="A285">
        <v>284</v>
      </c>
      <c r="B285" t="s">
        <v>15</v>
      </c>
      <c r="C285">
        <v>1804</v>
      </c>
      <c r="D285">
        <v>72</v>
      </c>
      <c r="E285">
        <v>51</v>
      </c>
      <c r="F285">
        <v>26</v>
      </c>
      <c r="G285" t="s">
        <v>16</v>
      </c>
      <c r="H285" t="s">
        <v>16</v>
      </c>
      <c r="I285" t="s">
        <v>16</v>
      </c>
      <c r="J285">
        <f t="shared" si="16"/>
        <v>64.8</v>
      </c>
      <c r="K285">
        <f t="shared" si="17"/>
        <v>74.400000000000006</v>
      </c>
      <c r="L285">
        <f t="shared" si="18"/>
        <v>36</v>
      </c>
      <c r="M285">
        <f t="shared" si="19"/>
        <v>59.04</v>
      </c>
    </row>
    <row r="286" spans="1:13" x14ac:dyDescent="0.45">
      <c r="A286">
        <v>285</v>
      </c>
      <c r="B286" t="s">
        <v>13</v>
      </c>
      <c r="C286">
        <v>1333</v>
      </c>
      <c r="D286">
        <v>59</v>
      </c>
      <c r="E286">
        <v>41</v>
      </c>
      <c r="F286">
        <v>25</v>
      </c>
      <c r="G286" t="s">
        <v>16</v>
      </c>
      <c r="H286" t="s">
        <v>14</v>
      </c>
      <c r="I286" t="s">
        <v>16</v>
      </c>
      <c r="J286">
        <f t="shared" si="16"/>
        <v>64.900000000000006</v>
      </c>
      <c r="K286">
        <f t="shared" si="17"/>
        <v>63.5</v>
      </c>
      <c r="L286">
        <f t="shared" si="18"/>
        <v>34.5</v>
      </c>
      <c r="M286">
        <f t="shared" si="19"/>
        <v>51.900000000000006</v>
      </c>
    </row>
    <row r="287" spans="1:13" x14ac:dyDescent="0.45">
      <c r="A287">
        <v>286</v>
      </c>
      <c r="B287" t="s">
        <v>13</v>
      </c>
      <c r="C287">
        <v>1203</v>
      </c>
      <c r="D287">
        <v>95</v>
      </c>
      <c r="E287">
        <v>33</v>
      </c>
      <c r="F287">
        <v>23</v>
      </c>
      <c r="G287" t="s">
        <v>14</v>
      </c>
      <c r="H287" t="s">
        <v>16</v>
      </c>
      <c r="I287" t="s">
        <v>16</v>
      </c>
      <c r="J287">
        <f t="shared" si="16"/>
        <v>95</v>
      </c>
      <c r="K287">
        <f t="shared" si="17"/>
        <v>53.7</v>
      </c>
      <c r="L287">
        <f t="shared" si="18"/>
        <v>57.5</v>
      </c>
      <c r="M287">
        <f t="shared" si="19"/>
        <v>55.22</v>
      </c>
    </row>
    <row r="288" spans="1:13" x14ac:dyDescent="0.45">
      <c r="A288">
        <v>287</v>
      </c>
      <c r="B288" t="s">
        <v>13</v>
      </c>
      <c r="C288">
        <v>818</v>
      </c>
      <c r="D288">
        <v>82</v>
      </c>
      <c r="E288">
        <v>23</v>
      </c>
      <c r="F288">
        <v>37</v>
      </c>
      <c r="G288" t="s">
        <v>14</v>
      </c>
      <c r="H288" t="s">
        <v>16</v>
      </c>
      <c r="I288" t="s">
        <v>14</v>
      </c>
      <c r="J288">
        <f t="shared" si="16"/>
        <v>82</v>
      </c>
      <c r="K288">
        <f t="shared" si="17"/>
        <v>66.3</v>
      </c>
      <c r="L288">
        <f t="shared" si="18"/>
        <v>51</v>
      </c>
      <c r="M288">
        <f t="shared" si="19"/>
        <v>60.179999999999993</v>
      </c>
    </row>
    <row r="289" spans="1:13" x14ac:dyDescent="0.45">
      <c r="A289">
        <v>288</v>
      </c>
      <c r="B289" t="s">
        <v>17</v>
      </c>
      <c r="C289">
        <v>821</v>
      </c>
      <c r="D289">
        <v>52</v>
      </c>
      <c r="E289">
        <v>53</v>
      </c>
      <c r="F289">
        <v>32</v>
      </c>
      <c r="G289" t="s">
        <v>16</v>
      </c>
      <c r="H289" t="s">
        <v>14</v>
      </c>
      <c r="I289" t="s">
        <v>16</v>
      </c>
      <c r="J289">
        <f t="shared" si="16"/>
        <v>62.920000000000009</v>
      </c>
      <c r="K289">
        <f t="shared" si="17"/>
        <v>81.8</v>
      </c>
      <c r="L289">
        <f t="shared" si="18"/>
        <v>31</v>
      </c>
      <c r="M289">
        <f t="shared" si="19"/>
        <v>61.48</v>
      </c>
    </row>
    <row r="290" spans="1:13" x14ac:dyDescent="0.45">
      <c r="A290">
        <v>289</v>
      </c>
      <c r="B290" t="s">
        <v>15</v>
      </c>
      <c r="C290">
        <v>223</v>
      </c>
      <c r="D290">
        <v>49</v>
      </c>
      <c r="E290">
        <v>46</v>
      </c>
      <c r="F290">
        <v>17</v>
      </c>
      <c r="G290" t="s">
        <v>16</v>
      </c>
      <c r="H290" t="s">
        <v>16</v>
      </c>
      <c r="I290" t="s">
        <v>14</v>
      </c>
      <c r="J290">
        <f t="shared" si="16"/>
        <v>44.1</v>
      </c>
      <c r="K290">
        <f t="shared" si="17"/>
        <v>71.3</v>
      </c>
      <c r="L290">
        <f t="shared" si="18"/>
        <v>24.5</v>
      </c>
      <c r="M290">
        <f t="shared" si="19"/>
        <v>52.58</v>
      </c>
    </row>
    <row r="291" spans="1:13" x14ac:dyDescent="0.45">
      <c r="A291">
        <v>290</v>
      </c>
      <c r="B291" t="s">
        <v>13</v>
      </c>
      <c r="C291">
        <v>490</v>
      </c>
      <c r="D291">
        <v>67</v>
      </c>
      <c r="E291">
        <v>44</v>
      </c>
      <c r="F291">
        <v>37</v>
      </c>
      <c r="G291" t="s">
        <v>14</v>
      </c>
      <c r="H291" t="s">
        <v>14</v>
      </c>
      <c r="I291" t="s">
        <v>16</v>
      </c>
      <c r="J291">
        <f t="shared" si="16"/>
        <v>73.7</v>
      </c>
      <c r="K291">
        <f t="shared" si="17"/>
        <v>77.3</v>
      </c>
      <c r="L291">
        <f t="shared" si="18"/>
        <v>48.5</v>
      </c>
      <c r="M291">
        <f t="shared" si="19"/>
        <v>65.78</v>
      </c>
    </row>
    <row r="292" spans="1:13" x14ac:dyDescent="0.45">
      <c r="A292">
        <v>291</v>
      </c>
      <c r="B292" t="s">
        <v>17</v>
      </c>
      <c r="C292">
        <v>424</v>
      </c>
      <c r="D292">
        <v>74</v>
      </c>
      <c r="E292">
        <v>41</v>
      </c>
      <c r="F292">
        <v>26</v>
      </c>
      <c r="G292" t="s">
        <v>16</v>
      </c>
      <c r="H292" t="s">
        <v>14</v>
      </c>
      <c r="I292" t="s">
        <v>16</v>
      </c>
      <c r="J292">
        <f t="shared" si="16"/>
        <v>89.54000000000002</v>
      </c>
      <c r="K292">
        <f t="shared" si="17"/>
        <v>64.400000000000006</v>
      </c>
      <c r="L292">
        <f t="shared" si="18"/>
        <v>42</v>
      </c>
      <c r="M292">
        <f t="shared" si="19"/>
        <v>55.44</v>
      </c>
    </row>
    <row r="293" spans="1:13" x14ac:dyDescent="0.45">
      <c r="A293">
        <v>292</v>
      </c>
      <c r="B293" t="s">
        <v>17</v>
      </c>
      <c r="C293">
        <v>1489</v>
      </c>
      <c r="D293">
        <v>44</v>
      </c>
      <c r="E293">
        <v>23</v>
      </c>
      <c r="F293">
        <v>19</v>
      </c>
      <c r="G293" t="s">
        <v>16</v>
      </c>
      <c r="H293" t="s">
        <v>16</v>
      </c>
      <c r="I293" t="s">
        <v>16</v>
      </c>
      <c r="J293">
        <f t="shared" si="16"/>
        <v>48.400000000000006</v>
      </c>
      <c r="K293">
        <f t="shared" si="17"/>
        <v>40.1</v>
      </c>
      <c r="L293">
        <f t="shared" si="18"/>
        <v>22</v>
      </c>
      <c r="M293">
        <f t="shared" si="19"/>
        <v>32.86</v>
      </c>
    </row>
    <row r="294" spans="1:13" x14ac:dyDescent="0.45">
      <c r="A294">
        <v>293</v>
      </c>
      <c r="B294" t="s">
        <v>17</v>
      </c>
      <c r="C294">
        <v>497</v>
      </c>
      <c r="D294">
        <v>64</v>
      </c>
      <c r="E294">
        <v>26</v>
      </c>
      <c r="F294">
        <v>22</v>
      </c>
      <c r="G294" t="s">
        <v>14</v>
      </c>
      <c r="H294" t="s">
        <v>14</v>
      </c>
      <c r="I294" t="s">
        <v>14</v>
      </c>
      <c r="J294">
        <f t="shared" si="16"/>
        <v>77.440000000000012</v>
      </c>
      <c r="K294">
        <f t="shared" si="17"/>
        <v>55.8</v>
      </c>
      <c r="L294">
        <f t="shared" si="18"/>
        <v>47</v>
      </c>
      <c r="M294">
        <f t="shared" si="19"/>
        <v>52.28</v>
      </c>
    </row>
    <row r="295" spans="1:13" x14ac:dyDescent="0.45">
      <c r="A295">
        <v>294</v>
      </c>
      <c r="B295" t="s">
        <v>13</v>
      </c>
      <c r="C295">
        <v>1194</v>
      </c>
      <c r="D295">
        <v>71</v>
      </c>
      <c r="E295">
        <v>23</v>
      </c>
      <c r="F295">
        <v>21</v>
      </c>
      <c r="G295" t="s">
        <v>14</v>
      </c>
      <c r="H295" t="s">
        <v>16</v>
      </c>
      <c r="I295" t="s">
        <v>16</v>
      </c>
      <c r="J295">
        <f t="shared" si="16"/>
        <v>71</v>
      </c>
      <c r="K295">
        <f t="shared" si="17"/>
        <v>41.9</v>
      </c>
      <c r="L295">
        <f t="shared" si="18"/>
        <v>45.5</v>
      </c>
      <c r="M295">
        <f t="shared" si="19"/>
        <v>43.339999999999996</v>
      </c>
    </row>
    <row r="296" spans="1:13" x14ac:dyDescent="0.45">
      <c r="A296">
        <v>295</v>
      </c>
      <c r="B296" t="s">
        <v>17</v>
      </c>
      <c r="C296">
        <v>434</v>
      </c>
      <c r="D296">
        <v>58</v>
      </c>
      <c r="E296">
        <v>60</v>
      </c>
      <c r="F296">
        <v>40</v>
      </c>
      <c r="G296" t="s">
        <v>14</v>
      </c>
      <c r="H296" t="s">
        <v>16</v>
      </c>
      <c r="I296" t="s">
        <v>14</v>
      </c>
      <c r="J296">
        <f t="shared" si="16"/>
        <v>63.800000000000004</v>
      </c>
      <c r="K296">
        <f t="shared" si="17"/>
        <v>100</v>
      </c>
      <c r="L296">
        <f t="shared" si="18"/>
        <v>39</v>
      </c>
      <c r="M296">
        <f t="shared" si="19"/>
        <v>75.599999999999994</v>
      </c>
    </row>
    <row r="297" spans="1:13" x14ac:dyDescent="0.45">
      <c r="A297">
        <v>296</v>
      </c>
      <c r="B297" t="s">
        <v>15</v>
      </c>
      <c r="C297">
        <v>820</v>
      </c>
      <c r="D297">
        <v>54</v>
      </c>
      <c r="E297">
        <v>47</v>
      </c>
      <c r="F297">
        <v>23</v>
      </c>
      <c r="G297" t="s">
        <v>14</v>
      </c>
      <c r="H297" t="s">
        <v>16</v>
      </c>
      <c r="I297" t="s">
        <v>16</v>
      </c>
      <c r="J297">
        <f t="shared" si="16"/>
        <v>48.6</v>
      </c>
      <c r="K297">
        <f t="shared" si="17"/>
        <v>67.7</v>
      </c>
      <c r="L297">
        <f t="shared" si="18"/>
        <v>37</v>
      </c>
      <c r="M297">
        <f t="shared" si="19"/>
        <v>55.42</v>
      </c>
    </row>
    <row r="298" spans="1:13" x14ac:dyDescent="0.45">
      <c r="A298">
        <v>297</v>
      </c>
      <c r="B298" t="s">
        <v>13</v>
      </c>
      <c r="C298">
        <v>957</v>
      </c>
      <c r="D298">
        <v>55</v>
      </c>
      <c r="E298">
        <v>36</v>
      </c>
      <c r="F298">
        <v>19</v>
      </c>
      <c r="G298" t="s">
        <v>14</v>
      </c>
      <c r="H298" t="s">
        <v>14</v>
      </c>
      <c r="I298" t="s">
        <v>14</v>
      </c>
      <c r="J298">
        <f t="shared" si="16"/>
        <v>60.500000000000007</v>
      </c>
      <c r="K298">
        <f t="shared" si="17"/>
        <v>63.1</v>
      </c>
      <c r="L298">
        <f t="shared" si="18"/>
        <v>42.5</v>
      </c>
      <c r="M298">
        <f t="shared" si="19"/>
        <v>54.86</v>
      </c>
    </row>
    <row r="299" spans="1:13" x14ac:dyDescent="0.45">
      <c r="A299">
        <v>298</v>
      </c>
      <c r="B299" t="s">
        <v>13</v>
      </c>
      <c r="C299">
        <v>1425</v>
      </c>
      <c r="D299">
        <v>69</v>
      </c>
      <c r="E299">
        <v>22</v>
      </c>
      <c r="F299">
        <v>32</v>
      </c>
      <c r="G299" t="s">
        <v>16</v>
      </c>
      <c r="H299" t="s">
        <v>16</v>
      </c>
      <c r="I299" t="s">
        <v>14</v>
      </c>
      <c r="J299">
        <f t="shared" si="16"/>
        <v>69</v>
      </c>
      <c r="K299">
        <f t="shared" si="17"/>
        <v>60.8</v>
      </c>
      <c r="L299">
        <f t="shared" si="18"/>
        <v>34.5</v>
      </c>
      <c r="M299">
        <f t="shared" si="19"/>
        <v>50.28</v>
      </c>
    </row>
    <row r="300" spans="1:13" x14ac:dyDescent="0.45">
      <c r="A300">
        <v>299</v>
      </c>
      <c r="B300" t="s">
        <v>15</v>
      </c>
      <c r="C300">
        <v>777</v>
      </c>
      <c r="D300">
        <v>55</v>
      </c>
      <c r="E300">
        <v>25</v>
      </c>
      <c r="F300">
        <v>34</v>
      </c>
      <c r="G300" t="s">
        <v>14</v>
      </c>
      <c r="H300" t="s">
        <v>16</v>
      </c>
      <c r="I300" t="s">
        <v>16</v>
      </c>
      <c r="J300">
        <f t="shared" si="16"/>
        <v>49.5</v>
      </c>
      <c r="K300">
        <f t="shared" si="17"/>
        <v>55.6</v>
      </c>
      <c r="L300">
        <f t="shared" si="18"/>
        <v>37.5</v>
      </c>
      <c r="M300">
        <f t="shared" si="19"/>
        <v>48.36</v>
      </c>
    </row>
    <row r="301" spans="1:13" x14ac:dyDescent="0.45">
      <c r="A301">
        <v>300</v>
      </c>
      <c r="B301" t="s">
        <v>17</v>
      </c>
      <c r="C301">
        <v>466</v>
      </c>
      <c r="D301">
        <v>92</v>
      </c>
      <c r="E301">
        <v>32</v>
      </c>
      <c r="F301">
        <v>19</v>
      </c>
      <c r="G301" t="s">
        <v>14</v>
      </c>
      <c r="H301" t="s">
        <v>16</v>
      </c>
      <c r="I301" t="s">
        <v>16</v>
      </c>
      <c r="J301">
        <f t="shared" si="16"/>
        <v>101.2</v>
      </c>
      <c r="K301">
        <f t="shared" si="17"/>
        <v>49.1</v>
      </c>
      <c r="L301">
        <f t="shared" si="18"/>
        <v>56</v>
      </c>
      <c r="M301">
        <f t="shared" si="19"/>
        <v>51.86</v>
      </c>
    </row>
    <row r="302" spans="1:13" x14ac:dyDescent="0.45">
      <c r="A302">
        <v>301</v>
      </c>
      <c r="B302" t="s">
        <v>17</v>
      </c>
      <c r="C302">
        <v>1527</v>
      </c>
      <c r="D302">
        <v>63</v>
      </c>
      <c r="E302">
        <v>53</v>
      </c>
      <c r="F302">
        <v>19</v>
      </c>
      <c r="G302" t="s">
        <v>16</v>
      </c>
      <c r="H302" t="s">
        <v>16</v>
      </c>
      <c r="I302" t="s">
        <v>16</v>
      </c>
      <c r="J302">
        <f t="shared" si="16"/>
        <v>69.300000000000011</v>
      </c>
      <c r="K302">
        <f t="shared" si="17"/>
        <v>70.099999999999994</v>
      </c>
      <c r="L302">
        <f t="shared" si="18"/>
        <v>31.5</v>
      </c>
      <c r="M302">
        <f t="shared" si="19"/>
        <v>54.66</v>
      </c>
    </row>
    <row r="303" spans="1:13" x14ac:dyDescent="0.45">
      <c r="A303">
        <v>302</v>
      </c>
      <c r="B303" t="s">
        <v>15</v>
      </c>
      <c r="C303">
        <v>773</v>
      </c>
      <c r="D303">
        <v>52</v>
      </c>
      <c r="E303">
        <v>55</v>
      </c>
      <c r="F303">
        <v>34</v>
      </c>
      <c r="G303" t="s">
        <v>14</v>
      </c>
      <c r="H303" t="s">
        <v>16</v>
      </c>
      <c r="I303" t="s">
        <v>16</v>
      </c>
      <c r="J303">
        <f t="shared" si="16"/>
        <v>46.800000000000004</v>
      </c>
      <c r="K303">
        <f t="shared" si="17"/>
        <v>85.6</v>
      </c>
      <c r="L303">
        <f t="shared" si="18"/>
        <v>36</v>
      </c>
      <c r="M303">
        <f t="shared" si="19"/>
        <v>65.759999999999991</v>
      </c>
    </row>
    <row r="304" spans="1:13" x14ac:dyDescent="0.45">
      <c r="A304">
        <v>303</v>
      </c>
      <c r="B304" t="s">
        <v>13</v>
      </c>
      <c r="C304">
        <v>1613</v>
      </c>
      <c r="D304">
        <v>71</v>
      </c>
      <c r="E304">
        <v>27</v>
      </c>
      <c r="F304">
        <v>16</v>
      </c>
      <c r="G304" t="s">
        <v>16</v>
      </c>
      <c r="H304" t="s">
        <v>14</v>
      </c>
      <c r="I304" t="s">
        <v>14</v>
      </c>
      <c r="J304">
        <f t="shared" si="16"/>
        <v>78.100000000000009</v>
      </c>
      <c r="K304">
        <f t="shared" si="17"/>
        <v>51.4</v>
      </c>
      <c r="L304">
        <f t="shared" si="18"/>
        <v>40.5</v>
      </c>
      <c r="M304">
        <f t="shared" si="19"/>
        <v>47.039999999999992</v>
      </c>
    </row>
    <row r="305" spans="1:13" x14ac:dyDescent="0.45">
      <c r="A305">
        <v>304</v>
      </c>
      <c r="B305" t="s">
        <v>13</v>
      </c>
      <c r="C305">
        <v>708</v>
      </c>
      <c r="D305">
        <v>41</v>
      </c>
      <c r="E305">
        <v>30</v>
      </c>
      <c r="F305">
        <v>26</v>
      </c>
      <c r="G305" t="s">
        <v>14</v>
      </c>
      <c r="H305" t="s">
        <v>16</v>
      </c>
      <c r="I305" t="s">
        <v>14</v>
      </c>
      <c r="J305">
        <f t="shared" si="16"/>
        <v>41</v>
      </c>
      <c r="K305">
        <f t="shared" si="17"/>
        <v>63.4</v>
      </c>
      <c r="L305">
        <f t="shared" si="18"/>
        <v>30.5</v>
      </c>
      <c r="M305">
        <f t="shared" si="19"/>
        <v>50.24</v>
      </c>
    </row>
    <row r="306" spans="1:13" x14ac:dyDescent="0.45">
      <c r="A306">
        <v>305</v>
      </c>
      <c r="B306" t="s">
        <v>15</v>
      </c>
      <c r="C306">
        <v>1646</v>
      </c>
      <c r="D306">
        <v>78</v>
      </c>
      <c r="E306">
        <v>21</v>
      </c>
      <c r="F306">
        <v>20</v>
      </c>
      <c r="G306" t="s">
        <v>14</v>
      </c>
      <c r="H306" t="s">
        <v>14</v>
      </c>
      <c r="I306" t="s">
        <v>16</v>
      </c>
      <c r="J306">
        <f t="shared" si="16"/>
        <v>77.220000000000013</v>
      </c>
      <c r="K306">
        <f t="shared" si="17"/>
        <v>39</v>
      </c>
      <c r="L306">
        <f t="shared" si="18"/>
        <v>54</v>
      </c>
      <c r="M306">
        <f t="shared" si="19"/>
        <v>45</v>
      </c>
    </row>
    <row r="307" spans="1:13" x14ac:dyDescent="0.45">
      <c r="A307">
        <v>306</v>
      </c>
      <c r="B307" t="s">
        <v>13</v>
      </c>
      <c r="C307">
        <v>1090</v>
      </c>
      <c r="D307">
        <v>93</v>
      </c>
      <c r="E307">
        <v>26</v>
      </c>
      <c r="F307">
        <v>27</v>
      </c>
      <c r="G307" t="s">
        <v>16</v>
      </c>
      <c r="H307" t="s">
        <v>16</v>
      </c>
      <c r="I307" t="s">
        <v>14</v>
      </c>
      <c r="J307">
        <f t="shared" si="16"/>
        <v>93</v>
      </c>
      <c r="K307">
        <f t="shared" si="17"/>
        <v>60.3</v>
      </c>
      <c r="L307">
        <f t="shared" si="18"/>
        <v>46.5</v>
      </c>
      <c r="M307">
        <f t="shared" si="19"/>
        <v>54.78</v>
      </c>
    </row>
    <row r="308" spans="1:13" x14ac:dyDescent="0.45">
      <c r="A308">
        <v>307</v>
      </c>
      <c r="B308" t="s">
        <v>17</v>
      </c>
      <c r="C308">
        <v>1461</v>
      </c>
      <c r="D308">
        <v>62</v>
      </c>
      <c r="E308">
        <v>26</v>
      </c>
      <c r="F308">
        <v>19</v>
      </c>
      <c r="G308" t="s">
        <v>16</v>
      </c>
      <c r="H308" t="s">
        <v>16</v>
      </c>
      <c r="I308" t="s">
        <v>14</v>
      </c>
      <c r="J308">
        <f t="shared" si="16"/>
        <v>68.2</v>
      </c>
      <c r="K308">
        <f t="shared" si="17"/>
        <v>53.1</v>
      </c>
      <c r="L308">
        <f t="shared" si="18"/>
        <v>31</v>
      </c>
      <c r="M308">
        <f t="shared" si="19"/>
        <v>44.26</v>
      </c>
    </row>
    <row r="309" spans="1:13" x14ac:dyDescent="0.45">
      <c r="A309">
        <v>308</v>
      </c>
      <c r="B309" t="s">
        <v>13</v>
      </c>
      <c r="C309">
        <v>1453</v>
      </c>
      <c r="D309">
        <v>52</v>
      </c>
      <c r="E309">
        <v>54</v>
      </c>
      <c r="F309">
        <v>21</v>
      </c>
      <c r="G309" t="s">
        <v>14</v>
      </c>
      <c r="H309" t="s">
        <v>14</v>
      </c>
      <c r="I309" t="s">
        <v>14</v>
      </c>
      <c r="J309">
        <f t="shared" si="16"/>
        <v>57.2</v>
      </c>
      <c r="K309">
        <f t="shared" si="17"/>
        <v>82.9</v>
      </c>
      <c r="L309">
        <f t="shared" si="18"/>
        <v>41</v>
      </c>
      <c r="M309">
        <f t="shared" si="19"/>
        <v>66.14</v>
      </c>
    </row>
    <row r="310" spans="1:13" x14ac:dyDescent="0.45">
      <c r="A310">
        <v>309</v>
      </c>
      <c r="B310" t="s">
        <v>17</v>
      </c>
      <c r="C310">
        <v>346</v>
      </c>
      <c r="D310">
        <v>53</v>
      </c>
      <c r="E310">
        <v>34</v>
      </c>
      <c r="F310">
        <v>39</v>
      </c>
      <c r="G310" t="s">
        <v>14</v>
      </c>
      <c r="H310" t="s">
        <v>14</v>
      </c>
      <c r="I310" t="s">
        <v>16</v>
      </c>
      <c r="J310">
        <f t="shared" si="16"/>
        <v>64.13000000000001</v>
      </c>
      <c r="K310">
        <f t="shared" si="17"/>
        <v>69.099999999999994</v>
      </c>
      <c r="L310">
        <f t="shared" si="18"/>
        <v>41.5</v>
      </c>
      <c r="M310">
        <f t="shared" si="19"/>
        <v>58.059999999999995</v>
      </c>
    </row>
    <row r="311" spans="1:13" x14ac:dyDescent="0.45">
      <c r="A311">
        <v>310</v>
      </c>
      <c r="B311" t="s">
        <v>13</v>
      </c>
      <c r="C311">
        <v>1956</v>
      </c>
      <c r="D311">
        <v>51</v>
      </c>
      <c r="E311">
        <v>59</v>
      </c>
      <c r="F311">
        <v>34</v>
      </c>
      <c r="G311" t="s">
        <v>16</v>
      </c>
      <c r="H311" t="s">
        <v>14</v>
      </c>
      <c r="I311" t="s">
        <v>16</v>
      </c>
      <c r="J311">
        <f t="shared" si="16"/>
        <v>56.1</v>
      </c>
      <c r="K311">
        <f t="shared" si="17"/>
        <v>89.6</v>
      </c>
      <c r="L311">
        <f t="shared" si="18"/>
        <v>30.5</v>
      </c>
      <c r="M311">
        <f t="shared" si="19"/>
        <v>65.959999999999994</v>
      </c>
    </row>
    <row r="312" spans="1:13" x14ac:dyDescent="0.45">
      <c r="A312">
        <v>311</v>
      </c>
      <c r="B312" t="s">
        <v>13</v>
      </c>
      <c r="C312">
        <v>1663</v>
      </c>
      <c r="D312">
        <v>42</v>
      </c>
      <c r="E312">
        <v>31</v>
      </c>
      <c r="F312">
        <v>35</v>
      </c>
      <c r="G312" t="s">
        <v>16</v>
      </c>
      <c r="H312" t="s">
        <v>14</v>
      </c>
      <c r="I312" t="s">
        <v>14</v>
      </c>
      <c r="J312">
        <f t="shared" si="16"/>
        <v>46.2</v>
      </c>
      <c r="K312">
        <f t="shared" si="17"/>
        <v>72.5</v>
      </c>
      <c r="L312">
        <f t="shared" si="18"/>
        <v>26</v>
      </c>
      <c r="M312">
        <f t="shared" si="19"/>
        <v>53.9</v>
      </c>
    </row>
    <row r="313" spans="1:13" x14ac:dyDescent="0.45">
      <c r="A313">
        <v>312</v>
      </c>
      <c r="B313" t="s">
        <v>17</v>
      </c>
      <c r="C313">
        <v>172</v>
      </c>
      <c r="D313">
        <v>63</v>
      </c>
      <c r="E313">
        <v>52</v>
      </c>
      <c r="F313">
        <v>35</v>
      </c>
      <c r="G313" t="s">
        <v>14</v>
      </c>
      <c r="H313" t="s">
        <v>14</v>
      </c>
      <c r="I313" t="s">
        <v>14</v>
      </c>
      <c r="J313">
        <f t="shared" si="16"/>
        <v>76.230000000000018</v>
      </c>
      <c r="K313">
        <f t="shared" si="17"/>
        <v>93.5</v>
      </c>
      <c r="L313">
        <f t="shared" si="18"/>
        <v>46.5</v>
      </c>
      <c r="M313">
        <f t="shared" si="19"/>
        <v>74.7</v>
      </c>
    </row>
    <row r="314" spans="1:13" x14ac:dyDescent="0.45">
      <c r="A314">
        <v>313</v>
      </c>
      <c r="B314" t="s">
        <v>15</v>
      </c>
      <c r="C314">
        <v>1534</v>
      </c>
      <c r="D314">
        <v>90</v>
      </c>
      <c r="E314">
        <v>42</v>
      </c>
      <c r="F314">
        <v>15</v>
      </c>
      <c r="G314" t="s">
        <v>14</v>
      </c>
      <c r="H314" t="s">
        <v>14</v>
      </c>
      <c r="I314" t="s">
        <v>14</v>
      </c>
      <c r="J314">
        <f t="shared" si="16"/>
        <v>89.100000000000009</v>
      </c>
      <c r="K314">
        <f t="shared" si="17"/>
        <v>65.5</v>
      </c>
      <c r="L314">
        <f t="shared" si="18"/>
        <v>60</v>
      </c>
      <c r="M314">
        <f t="shared" si="19"/>
        <v>63.3</v>
      </c>
    </row>
    <row r="315" spans="1:13" x14ac:dyDescent="0.45">
      <c r="A315">
        <v>314</v>
      </c>
      <c r="B315" t="s">
        <v>17</v>
      </c>
      <c r="C315">
        <v>1883</v>
      </c>
      <c r="D315">
        <v>87</v>
      </c>
      <c r="E315">
        <v>34</v>
      </c>
      <c r="F315">
        <v>25</v>
      </c>
      <c r="G315" t="s">
        <v>16</v>
      </c>
      <c r="H315" t="s">
        <v>14</v>
      </c>
      <c r="I315" t="s">
        <v>16</v>
      </c>
      <c r="J315">
        <f t="shared" si="16"/>
        <v>105.27000000000001</v>
      </c>
      <c r="K315">
        <f t="shared" si="17"/>
        <v>56.5</v>
      </c>
      <c r="L315">
        <f t="shared" si="18"/>
        <v>48.5</v>
      </c>
      <c r="M315">
        <f t="shared" si="19"/>
        <v>53.3</v>
      </c>
    </row>
    <row r="316" spans="1:13" x14ac:dyDescent="0.45">
      <c r="A316">
        <v>315</v>
      </c>
      <c r="B316" t="s">
        <v>13</v>
      </c>
      <c r="C316">
        <v>1609</v>
      </c>
      <c r="D316">
        <v>74</v>
      </c>
      <c r="E316">
        <v>40</v>
      </c>
      <c r="F316">
        <v>36</v>
      </c>
      <c r="G316" t="s">
        <v>16</v>
      </c>
      <c r="H316" t="s">
        <v>16</v>
      </c>
      <c r="I316" t="s">
        <v>16</v>
      </c>
      <c r="J316">
        <f t="shared" si="16"/>
        <v>74</v>
      </c>
      <c r="K316">
        <f t="shared" si="17"/>
        <v>72.400000000000006</v>
      </c>
      <c r="L316">
        <f t="shared" si="18"/>
        <v>37</v>
      </c>
      <c r="M316">
        <f t="shared" si="19"/>
        <v>58.240000000000009</v>
      </c>
    </row>
    <row r="317" spans="1:13" x14ac:dyDescent="0.45">
      <c r="A317">
        <v>316</v>
      </c>
      <c r="B317" t="s">
        <v>17</v>
      </c>
      <c r="C317">
        <v>1272</v>
      </c>
      <c r="D317">
        <v>55</v>
      </c>
      <c r="E317">
        <v>37</v>
      </c>
      <c r="F317">
        <v>22</v>
      </c>
      <c r="G317" t="s">
        <v>14</v>
      </c>
      <c r="H317" t="s">
        <v>16</v>
      </c>
      <c r="I317" t="s">
        <v>14</v>
      </c>
      <c r="J317">
        <f t="shared" si="16"/>
        <v>60.500000000000007</v>
      </c>
      <c r="K317">
        <f t="shared" si="17"/>
        <v>66.8</v>
      </c>
      <c r="L317">
        <f t="shared" si="18"/>
        <v>37.5</v>
      </c>
      <c r="M317">
        <f t="shared" si="19"/>
        <v>55.08</v>
      </c>
    </row>
    <row r="318" spans="1:13" x14ac:dyDescent="0.45">
      <c r="A318">
        <v>317</v>
      </c>
      <c r="B318" t="s">
        <v>17</v>
      </c>
      <c r="C318">
        <v>1031</v>
      </c>
      <c r="D318">
        <v>43</v>
      </c>
      <c r="E318">
        <v>25</v>
      </c>
      <c r="F318">
        <v>32</v>
      </c>
      <c r="G318" t="s">
        <v>14</v>
      </c>
      <c r="H318" t="s">
        <v>14</v>
      </c>
      <c r="I318" t="s">
        <v>16</v>
      </c>
      <c r="J318">
        <f t="shared" si="16"/>
        <v>52.030000000000008</v>
      </c>
      <c r="K318">
        <f t="shared" si="17"/>
        <v>53.8</v>
      </c>
      <c r="L318">
        <f t="shared" si="18"/>
        <v>36.5</v>
      </c>
      <c r="M318">
        <f t="shared" si="19"/>
        <v>46.879999999999995</v>
      </c>
    </row>
    <row r="319" spans="1:13" x14ac:dyDescent="0.45">
      <c r="A319">
        <v>318</v>
      </c>
      <c r="B319" t="s">
        <v>15</v>
      </c>
      <c r="C319">
        <v>909</v>
      </c>
      <c r="D319">
        <v>49</v>
      </c>
      <c r="E319">
        <v>24</v>
      </c>
      <c r="F319">
        <v>21</v>
      </c>
      <c r="G319" t="s">
        <v>16</v>
      </c>
      <c r="H319" t="s">
        <v>14</v>
      </c>
      <c r="I319" t="s">
        <v>14</v>
      </c>
      <c r="J319">
        <f t="shared" si="16"/>
        <v>48.510000000000005</v>
      </c>
      <c r="K319">
        <f t="shared" si="17"/>
        <v>52.9</v>
      </c>
      <c r="L319">
        <f t="shared" si="18"/>
        <v>29.5</v>
      </c>
      <c r="M319">
        <f t="shared" si="19"/>
        <v>43.54</v>
      </c>
    </row>
    <row r="320" spans="1:13" x14ac:dyDescent="0.45">
      <c r="A320">
        <v>319</v>
      </c>
      <c r="B320" t="s">
        <v>17</v>
      </c>
      <c r="C320">
        <v>1580</v>
      </c>
      <c r="D320">
        <v>87</v>
      </c>
      <c r="E320">
        <v>33</v>
      </c>
      <c r="F320">
        <v>34</v>
      </c>
      <c r="G320" t="s">
        <v>14</v>
      </c>
      <c r="H320" t="s">
        <v>16</v>
      </c>
      <c r="I320" t="s">
        <v>16</v>
      </c>
      <c r="J320">
        <f t="shared" si="16"/>
        <v>95.7</v>
      </c>
      <c r="K320">
        <f t="shared" si="17"/>
        <v>63.6</v>
      </c>
      <c r="L320">
        <f t="shared" si="18"/>
        <v>53.5</v>
      </c>
      <c r="M320">
        <f t="shared" si="19"/>
        <v>59.56</v>
      </c>
    </row>
    <row r="321" spans="1:13" x14ac:dyDescent="0.45">
      <c r="A321">
        <v>320</v>
      </c>
      <c r="B321" t="s">
        <v>13</v>
      </c>
      <c r="C321">
        <v>1945</v>
      </c>
      <c r="D321">
        <v>78</v>
      </c>
      <c r="E321">
        <v>28</v>
      </c>
      <c r="F321">
        <v>16</v>
      </c>
      <c r="G321" t="s">
        <v>16</v>
      </c>
      <c r="H321" t="s">
        <v>14</v>
      </c>
      <c r="I321" t="s">
        <v>16</v>
      </c>
      <c r="J321">
        <f t="shared" si="16"/>
        <v>85.800000000000011</v>
      </c>
      <c r="K321">
        <f t="shared" si="17"/>
        <v>42.4</v>
      </c>
      <c r="L321">
        <f t="shared" si="18"/>
        <v>44</v>
      </c>
      <c r="M321">
        <f t="shared" si="19"/>
        <v>43.04</v>
      </c>
    </row>
    <row r="322" spans="1:13" x14ac:dyDescent="0.45">
      <c r="A322">
        <v>321</v>
      </c>
      <c r="B322" t="s">
        <v>13</v>
      </c>
      <c r="C322">
        <v>982</v>
      </c>
      <c r="D322">
        <v>93</v>
      </c>
      <c r="E322">
        <v>22</v>
      </c>
      <c r="F322">
        <v>36</v>
      </c>
      <c r="G322" t="s">
        <v>16</v>
      </c>
      <c r="H322" t="s">
        <v>16</v>
      </c>
      <c r="I322" t="s">
        <v>16</v>
      </c>
      <c r="J322">
        <f t="shared" ref="J322:J385" si="20">D322*(IF(B322="Residential",0.9,IF(B322="Commercial",1,IF(B322="Infrastructure",1.1,1))))*(IF(H322="Yes",1.1,1))</f>
        <v>93</v>
      </c>
      <c r="K322">
        <f t="shared" ref="K322:K385" si="21">MIN((((E322*100)+(F322*90))/100)+IF(I322="Yes",10,0),100)</f>
        <v>54.4</v>
      </c>
      <c r="L322">
        <f t="shared" ref="L322:L385" si="22">MIN((D322*0.5)+IF(G322="Yes",10,0)+IF(H322="Yes",5,0),100)</f>
        <v>46.5</v>
      </c>
      <c r="M322">
        <f t="shared" ref="M322:M385" si="23">MIN((K322*0.6)+(L322*0.4),100)</f>
        <v>51.24</v>
      </c>
    </row>
    <row r="323" spans="1:13" x14ac:dyDescent="0.45">
      <c r="A323">
        <v>322</v>
      </c>
      <c r="B323" t="s">
        <v>17</v>
      </c>
      <c r="C323">
        <v>1489</v>
      </c>
      <c r="D323">
        <v>93</v>
      </c>
      <c r="E323">
        <v>53</v>
      </c>
      <c r="F323">
        <v>39</v>
      </c>
      <c r="G323" t="s">
        <v>16</v>
      </c>
      <c r="H323" t="s">
        <v>14</v>
      </c>
      <c r="I323" t="s">
        <v>16</v>
      </c>
      <c r="J323">
        <f t="shared" si="20"/>
        <v>112.53000000000002</v>
      </c>
      <c r="K323">
        <f t="shared" si="21"/>
        <v>88.1</v>
      </c>
      <c r="L323">
        <f t="shared" si="22"/>
        <v>51.5</v>
      </c>
      <c r="M323">
        <f t="shared" si="23"/>
        <v>73.459999999999994</v>
      </c>
    </row>
    <row r="324" spans="1:13" x14ac:dyDescent="0.45">
      <c r="A324">
        <v>323</v>
      </c>
      <c r="B324" t="s">
        <v>15</v>
      </c>
      <c r="C324">
        <v>1041</v>
      </c>
      <c r="D324">
        <v>40</v>
      </c>
      <c r="E324">
        <v>20</v>
      </c>
      <c r="F324">
        <v>39</v>
      </c>
      <c r="G324" t="s">
        <v>14</v>
      </c>
      <c r="H324" t="s">
        <v>14</v>
      </c>
      <c r="I324" t="s">
        <v>16</v>
      </c>
      <c r="J324">
        <f t="shared" si="20"/>
        <v>39.6</v>
      </c>
      <c r="K324">
        <f t="shared" si="21"/>
        <v>55.1</v>
      </c>
      <c r="L324">
        <f t="shared" si="22"/>
        <v>35</v>
      </c>
      <c r="M324">
        <f t="shared" si="23"/>
        <v>47.06</v>
      </c>
    </row>
    <row r="325" spans="1:13" x14ac:dyDescent="0.45">
      <c r="A325">
        <v>324</v>
      </c>
      <c r="B325" t="s">
        <v>13</v>
      </c>
      <c r="C325">
        <v>1258</v>
      </c>
      <c r="D325">
        <v>80</v>
      </c>
      <c r="E325">
        <v>28</v>
      </c>
      <c r="F325">
        <v>25</v>
      </c>
      <c r="G325" t="s">
        <v>16</v>
      </c>
      <c r="H325" t="s">
        <v>14</v>
      </c>
      <c r="I325" t="s">
        <v>16</v>
      </c>
      <c r="J325">
        <f t="shared" si="20"/>
        <v>88</v>
      </c>
      <c r="K325">
        <f t="shared" si="21"/>
        <v>50.5</v>
      </c>
      <c r="L325">
        <f t="shared" si="22"/>
        <v>45</v>
      </c>
      <c r="M325">
        <f t="shared" si="23"/>
        <v>48.3</v>
      </c>
    </row>
    <row r="326" spans="1:13" x14ac:dyDescent="0.45">
      <c r="A326">
        <v>325</v>
      </c>
      <c r="B326" t="s">
        <v>13</v>
      </c>
      <c r="C326">
        <v>1955</v>
      </c>
      <c r="D326">
        <v>70</v>
      </c>
      <c r="E326">
        <v>29</v>
      </c>
      <c r="F326">
        <v>27</v>
      </c>
      <c r="G326" t="s">
        <v>16</v>
      </c>
      <c r="H326" t="s">
        <v>14</v>
      </c>
      <c r="I326" t="s">
        <v>14</v>
      </c>
      <c r="J326">
        <f t="shared" si="20"/>
        <v>77</v>
      </c>
      <c r="K326">
        <f t="shared" si="21"/>
        <v>63.3</v>
      </c>
      <c r="L326">
        <f t="shared" si="22"/>
        <v>40</v>
      </c>
      <c r="M326">
        <f t="shared" si="23"/>
        <v>53.98</v>
      </c>
    </row>
    <row r="327" spans="1:13" x14ac:dyDescent="0.45">
      <c r="A327">
        <v>326</v>
      </c>
      <c r="B327" t="s">
        <v>13</v>
      </c>
      <c r="C327">
        <v>1381</v>
      </c>
      <c r="D327">
        <v>75</v>
      </c>
      <c r="E327">
        <v>24</v>
      </c>
      <c r="F327">
        <v>24</v>
      </c>
      <c r="G327" t="s">
        <v>14</v>
      </c>
      <c r="H327" t="s">
        <v>16</v>
      </c>
      <c r="I327" t="s">
        <v>14</v>
      </c>
      <c r="J327">
        <f t="shared" si="20"/>
        <v>75</v>
      </c>
      <c r="K327">
        <f t="shared" si="21"/>
        <v>55.6</v>
      </c>
      <c r="L327">
        <f t="shared" si="22"/>
        <v>47.5</v>
      </c>
      <c r="M327">
        <f t="shared" si="23"/>
        <v>52.36</v>
      </c>
    </row>
    <row r="328" spans="1:13" x14ac:dyDescent="0.45">
      <c r="A328">
        <v>327</v>
      </c>
      <c r="B328" t="s">
        <v>13</v>
      </c>
      <c r="C328">
        <v>1424</v>
      </c>
      <c r="D328">
        <v>76</v>
      </c>
      <c r="E328">
        <v>31</v>
      </c>
      <c r="F328">
        <v>21</v>
      </c>
      <c r="G328" t="s">
        <v>14</v>
      </c>
      <c r="H328" t="s">
        <v>16</v>
      </c>
      <c r="I328" t="s">
        <v>14</v>
      </c>
      <c r="J328">
        <f t="shared" si="20"/>
        <v>76</v>
      </c>
      <c r="K328">
        <f t="shared" si="21"/>
        <v>59.9</v>
      </c>
      <c r="L328">
        <f t="shared" si="22"/>
        <v>48</v>
      </c>
      <c r="M328">
        <f t="shared" si="23"/>
        <v>55.14</v>
      </c>
    </row>
    <row r="329" spans="1:13" x14ac:dyDescent="0.45">
      <c r="A329">
        <v>328</v>
      </c>
      <c r="B329" t="s">
        <v>13</v>
      </c>
      <c r="C329">
        <v>302</v>
      </c>
      <c r="D329">
        <v>57</v>
      </c>
      <c r="E329">
        <v>48</v>
      </c>
      <c r="F329">
        <v>35</v>
      </c>
      <c r="G329" t="s">
        <v>16</v>
      </c>
      <c r="H329" t="s">
        <v>16</v>
      </c>
      <c r="I329" t="s">
        <v>16</v>
      </c>
      <c r="J329">
        <f t="shared" si="20"/>
        <v>57</v>
      </c>
      <c r="K329">
        <f t="shared" si="21"/>
        <v>79.5</v>
      </c>
      <c r="L329">
        <f t="shared" si="22"/>
        <v>28.5</v>
      </c>
      <c r="M329">
        <f t="shared" si="23"/>
        <v>59.099999999999994</v>
      </c>
    </row>
    <row r="330" spans="1:13" x14ac:dyDescent="0.45">
      <c r="A330">
        <v>329</v>
      </c>
      <c r="B330" t="s">
        <v>15</v>
      </c>
      <c r="C330">
        <v>1297</v>
      </c>
      <c r="D330">
        <v>88</v>
      </c>
      <c r="E330">
        <v>27</v>
      </c>
      <c r="F330">
        <v>28</v>
      </c>
      <c r="G330" t="s">
        <v>16</v>
      </c>
      <c r="H330" t="s">
        <v>16</v>
      </c>
      <c r="I330" t="s">
        <v>14</v>
      </c>
      <c r="J330">
        <f t="shared" si="20"/>
        <v>79.2</v>
      </c>
      <c r="K330">
        <f t="shared" si="21"/>
        <v>62.2</v>
      </c>
      <c r="L330">
        <f t="shared" si="22"/>
        <v>44</v>
      </c>
      <c r="M330">
        <f t="shared" si="23"/>
        <v>54.92</v>
      </c>
    </row>
    <row r="331" spans="1:13" x14ac:dyDescent="0.45">
      <c r="A331">
        <v>330</v>
      </c>
      <c r="B331" t="s">
        <v>15</v>
      </c>
      <c r="C331">
        <v>1793</v>
      </c>
      <c r="D331">
        <v>90</v>
      </c>
      <c r="E331">
        <v>26</v>
      </c>
      <c r="F331">
        <v>30</v>
      </c>
      <c r="G331" t="s">
        <v>16</v>
      </c>
      <c r="H331" t="s">
        <v>16</v>
      </c>
      <c r="I331" t="s">
        <v>14</v>
      </c>
      <c r="J331">
        <f t="shared" si="20"/>
        <v>81</v>
      </c>
      <c r="K331">
        <f t="shared" si="21"/>
        <v>63</v>
      </c>
      <c r="L331">
        <f t="shared" si="22"/>
        <v>45</v>
      </c>
      <c r="M331">
        <f t="shared" si="23"/>
        <v>55.8</v>
      </c>
    </row>
    <row r="332" spans="1:13" x14ac:dyDescent="0.45">
      <c r="A332">
        <v>331</v>
      </c>
      <c r="B332" t="s">
        <v>17</v>
      </c>
      <c r="C332">
        <v>1275</v>
      </c>
      <c r="D332">
        <v>54</v>
      </c>
      <c r="E332">
        <v>51</v>
      </c>
      <c r="F332">
        <v>38</v>
      </c>
      <c r="G332" t="s">
        <v>16</v>
      </c>
      <c r="H332" t="s">
        <v>16</v>
      </c>
      <c r="I332" t="s">
        <v>16</v>
      </c>
      <c r="J332">
        <f t="shared" si="20"/>
        <v>59.400000000000006</v>
      </c>
      <c r="K332">
        <f t="shared" si="21"/>
        <v>85.2</v>
      </c>
      <c r="L332">
        <f t="shared" si="22"/>
        <v>27</v>
      </c>
      <c r="M332">
        <f t="shared" si="23"/>
        <v>61.92</v>
      </c>
    </row>
    <row r="333" spans="1:13" x14ac:dyDescent="0.45">
      <c r="A333">
        <v>332</v>
      </c>
      <c r="B333" t="s">
        <v>13</v>
      </c>
      <c r="C333">
        <v>701</v>
      </c>
      <c r="D333">
        <v>57</v>
      </c>
      <c r="E333">
        <v>25</v>
      </c>
      <c r="F333">
        <v>15</v>
      </c>
      <c r="G333" t="s">
        <v>14</v>
      </c>
      <c r="H333" t="s">
        <v>14</v>
      </c>
      <c r="I333" t="s">
        <v>16</v>
      </c>
      <c r="J333">
        <f t="shared" si="20"/>
        <v>62.7</v>
      </c>
      <c r="K333">
        <f t="shared" si="21"/>
        <v>38.5</v>
      </c>
      <c r="L333">
        <f t="shared" si="22"/>
        <v>43.5</v>
      </c>
      <c r="M333">
        <f t="shared" si="23"/>
        <v>40.5</v>
      </c>
    </row>
    <row r="334" spans="1:13" x14ac:dyDescent="0.45">
      <c r="A334">
        <v>333</v>
      </c>
      <c r="B334" t="s">
        <v>17</v>
      </c>
      <c r="C334">
        <v>1227</v>
      </c>
      <c r="D334">
        <v>60</v>
      </c>
      <c r="E334">
        <v>23</v>
      </c>
      <c r="F334">
        <v>39</v>
      </c>
      <c r="G334" t="s">
        <v>16</v>
      </c>
      <c r="H334" t="s">
        <v>16</v>
      </c>
      <c r="I334" t="s">
        <v>16</v>
      </c>
      <c r="J334">
        <f t="shared" si="20"/>
        <v>66</v>
      </c>
      <c r="K334">
        <f t="shared" si="21"/>
        <v>58.1</v>
      </c>
      <c r="L334">
        <f t="shared" si="22"/>
        <v>30</v>
      </c>
      <c r="M334">
        <f t="shared" si="23"/>
        <v>46.86</v>
      </c>
    </row>
    <row r="335" spans="1:13" x14ac:dyDescent="0.45">
      <c r="A335">
        <v>334</v>
      </c>
      <c r="B335" t="s">
        <v>13</v>
      </c>
      <c r="C335">
        <v>535</v>
      </c>
      <c r="D335">
        <v>85</v>
      </c>
      <c r="E335">
        <v>39</v>
      </c>
      <c r="F335">
        <v>19</v>
      </c>
      <c r="G335" t="s">
        <v>16</v>
      </c>
      <c r="H335" t="s">
        <v>14</v>
      </c>
      <c r="I335" t="s">
        <v>16</v>
      </c>
      <c r="J335">
        <f t="shared" si="20"/>
        <v>93.500000000000014</v>
      </c>
      <c r="K335">
        <f t="shared" si="21"/>
        <v>56.1</v>
      </c>
      <c r="L335">
        <f t="shared" si="22"/>
        <v>47.5</v>
      </c>
      <c r="M335">
        <f t="shared" si="23"/>
        <v>52.66</v>
      </c>
    </row>
    <row r="336" spans="1:13" x14ac:dyDescent="0.45">
      <c r="A336">
        <v>335</v>
      </c>
      <c r="B336" t="s">
        <v>13</v>
      </c>
      <c r="C336">
        <v>884</v>
      </c>
      <c r="D336">
        <v>83</v>
      </c>
      <c r="E336">
        <v>36</v>
      </c>
      <c r="F336">
        <v>24</v>
      </c>
      <c r="G336" t="s">
        <v>16</v>
      </c>
      <c r="H336" t="s">
        <v>16</v>
      </c>
      <c r="I336" t="s">
        <v>16</v>
      </c>
      <c r="J336">
        <f t="shared" si="20"/>
        <v>83</v>
      </c>
      <c r="K336">
        <f t="shared" si="21"/>
        <v>57.6</v>
      </c>
      <c r="L336">
        <f t="shared" si="22"/>
        <v>41.5</v>
      </c>
      <c r="M336">
        <f t="shared" si="23"/>
        <v>51.160000000000004</v>
      </c>
    </row>
    <row r="337" spans="1:13" x14ac:dyDescent="0.45">
      <c r="A337">
        <v>336</v>
      </c>
      <c r="B337" t="s">
        <v>17</v>
      </c>
      <c r="C337">
        <v>1593</v>
      </c>
      <c r="D337">
        <v>58</v>
      </c>
      <c r="E337">
        <v>33</v>
      </c>
      <c r="F337">
        <v>18</v>
      </c>
      <c r="G337" t="s">
        <v>16</v>
      </c>
      <c r="H337" t="s">
        <v>14</v>
      </c>
      <c r="I337" t="s">
        <v>14</v>
      </c>
      <c r="J337">
        <f t="shared" si="20"/>
        <v>70.180000000000007</v>
      </c>
      <c r="K337">
        <f t="shared" si="21"/>
        <v>59.2</v>
      </c>
      <c r="L337">
        <f t="shared" si="22"/>
        <v>34</v>
      </c>
      <c r="M337">
        <f t="shared" si="23"/>
        <v>49.120000000000005</v>
      </c>
    </row>
    <row r="338" spans="1:13" x14ac:dyDescent="0.45">
      <c r="A338">
        <v>337</v>
      </c>
      <c r="B338" t="s">
        <v>13</v>
      </c>
      <c r="C338">
        <v>547</v>
      </c>
      <c r="D338">
        <v>95</v>
      </c>
      <c r="E338">
        <v>42</v>
      </c>
      <c r="F338">
        <v>26</v>
      </c>
      <c r="G338" t="s">
        <v>16</v>
      </c>
      <c r="H338" t="s">
        <v>16</v>
      </c>
      <c r="I338" t="s">
        <v>16</v>
      </c>
      <c r="J338">
        <f t="shared" si="20"/>
        <v>95</v>
      </c>
      <c r="K338">
        <f t="shared" si="21"/>
        <v>65.400000000000006</v>
      </c>
      <c r="L338">
        <f t="shared" si="22"/>
        <v>47.5</v>
      </c>
      <c r="M338">
        <f t="shared" si="23"/>
        <v>58.24</v>
      </c>
    </row>
    <row r="339" spans="1:13" x14ac:dyDescent="0.45">
      <c r="A339">
        <v>338</v>
      </c>
      <c r="B339" t="s">
        <v>15</v>
      </c>
      <c r="C339">
        <v>1232</v>
      </c>
      <c r="D339">
        <v>55</v>
      </c>
      <c r="E339">
        <v>57</v>
      </c>
      <c r="F339">
        <v>37</v>
      </c>
      <c r="G339" t="s">
        <v>16</v>
      </c>
      <c r="H339" t="s">
        <v>16</v>
      </c>
      <c r="I339" t="s">
        <v>14</v>
      </c>
      <c r="J339">
        <f t="shared" si="20"/>
        <v>49.5</v>
      </c>
      <c r="K339">
        <f t="shared" si="21"/>
        <v>100</v>
      </c>
      <c r="L339">
        <f t="shared" si="22"/>
        <v>27.5</v>
      </c>
      <c r="M339">
        <f t="shared" si="23"/>
        <v>71</v>
      </c>
    </row>
    <row r="340" spans="1:13" x14ac:dyDescent="0.45">
      <c r="A340">
        <v>339</v>
      </c>
      <c r="B340" t="s">
        <v>15</v>
      </c>
      <c r="C340">
        <v>1483</v>
      </c>
      <c r="D340">
        <v>93</v>
      </c>
      <c r="E340">
        <v>60</v>
      </c>
      <c r="F340">
        <v>24</v>
      </c>
      <c r="G340" t="s">
        <v>16</v>
      </c>
      <c r="H340" t="s">
        <v>14</v>
      </c>
      <c r="I340" t="s">
        <v>16</v>
      </c>
      <c r="J340">
        <f t="shared" si="20"/>
        <v>92.070000000000007</v>
      </c>
      <c r="K340">
        <f t="shared" si="21"/>
        <v>81.599999999999994</v>
      </c>
      <c r="L340">
        <f t="shared" si="22"/>
        <v>51.5</v>
      </c>
      <c r="M340">
        <f t="shared" si="23"/>
        <v>69.56</v>
      </c>
    </row>
    <row r="341" spans="1:13" x14ac:dyDescent="0.45">
      <c r="A341">
        <v>340</v>
      </c>
      <c r="B341" t="s">
        <v>17</v>
      </c>
      <c r="C341">
        <v>1668</v>
      </c>
      <c r="D341">
        <v>87</v>
      </c>
      <c r="E341">
        <v>40</v>
      </c>
      <c r="F341">
        <v>17</v>
      </c>
      <c r="G341" t="s">
        <v>14</v>
      </c>
      <c r="H341" t="s">
        <v>14</v>
      </c>
      <c r="I341" t="s">
        <v>14</v>
      </c>
      <c r="J341">
        <f t="shared" si="20"/>
        <v>105.27000000000001</v>
      </c>
      <c r="K341">
        <f t="shared" si="21"/>
        <v>65.3</v>
      </c>
      <c r="L341">
        <f t="shared" si="22"/>
        <v>58.5</v>
      </c>
      <c r="M341">
        <f t="shared" si="23"/>
        <v>62.58</v>
      </c>
    </row>
    <row r="342" spans="1:13" x14ac:dyDescent="0.45">
      <c r="A342">
        <v>341</v>
      </c>
      <c r="B342" t="s">
        <v>13</v>
      </c>
      <c r="C342">
        <v>1408</v>
      </c>
      <c r="D342">
        <v>71</v>
      </c>
      <c r="E342">
        <v>58</v>
      </c>
      <c r="F342">
        <v>31</v>
      </c>
      <c r="G342" t="s">
        <v>14</v>
      </c>
      <c r="H342" t="s">
        <v>16</v>
      </c>
      <c r="I342" t="s">
        <v>16</v>
      </c>
      <c r="J342">
        <f t="shared" si="20"/>
        <v>71</v>
      </c>
      <c r="K342">
        <f t="shared" si="21"/>
        <v>85.9</v>
      </c>
      <c r="L342">
        <f t="shared" si="22"/>
        <v>45.5</v>
      </c>
      <c r="M342">
        <f t="shared" si="23"/>
        <v>69.739999999999995</v>
      </c>
    </row>
    <row r="343" spans="1:13" x14ac:dyDescent="0.45">
      <c r="A343">
        <v>342</v>
      </c>
      <c r="B343" t="s">
        <v>13</v>
      </c>
      <c r="C343">
        <v>667</v>
      </c>
      <c r="D343">
        <v>73</v>
      </c>
      <c r="E343">
        <v>20</v>
      </c>
      <c r="F343">
        <v>17</v>
      </c>
      <c r="G343" t="s">
        <v>14</v>
      </c>
      <c r="H343" t="s">
        <v>14</v>
      </c>
      <c r="I343" t="s">
        <v>14</v>
      </c>
      <c r="J343">
        <f t="shared" si="20"/>
        <v>80.300000000000011</v>
      </c>
      <c r="K343">
        <f t="shared" si="21"/>
        <v>45.3</v>
      </c>
      <c r="L343">
        <f t="shared" si="22"/>
        <v>51.5</v>
      </c>
      <c r="M343">
        <f t="shared" si="23"/>
        <v>47.78</v>
      </c>
    </row>
    <row r="344" spans="1:13" x14ac:dyDescent="0.45">
      <c r="A344">
        <v>343</v>
      </c>
      <c r="B344" t="s">
        <v>17</v>
      </c>
      <c r="C344">
        <v>1262</v>
      </c>
      <c r="D344">
        <v>84</v>
      </c>
      <c r="E344">
        <v>28</v>
      </c>
      <c r="F344">
        <v>21</v>
      </c>
      <c r="G344" t="s">
        <v>16</v>
      </c>
      <c r="H344" t="s">
        <v>14</v>
      </c>
      <c r="I344" t="s">
        <v>16</v>
      </c>
      <c r="J344">
        <f t="shared" si="20"/>
        <v>101.64000000000001</v>
      </c>
      <c r="K344">
        <f t="shared" si="21"/>
        <v>46.9</v>
      </c>
      <c r="L344">
        <f t="shared" si="22"/>
        <v>47</v>
      </c>
      <c r="M344">
        <f t="shared" si="23"/>
        <v>46.94</v>
      </c>
    </row>
    <row r="345" spans="1:13" x14ac:dyDescent="0.45">
      <c r="A345">
        <v>344</v>
      </c>
      <c r="B345" t="s">
        <v>15</v>
      </c>
      <c r="C345">
        <v>1272</v>
      </c>
      <c r="D345">
        <v>45</v>
      </c>
      <c r="E345">
        <v>34</v>
      </c>
      <c r="F345">
        <v>15</v>
      </c>
      <c r="G345" t="s">
        <v>16</v>
      </c>
      <c r="H345" t="s">
        <v>16</v>
      </c>
      <c r="I345" t="s">
        <v>16</v>
      </c>
      <c r="J345">
        <f t="shared" si="20"/>
        <v>40.5</v>
      </c>
      <c r="K345">
        <f t="shared" si="21"/>
        <v>47.5</v>
      </c>
      <c r="L345">
        <f t="shared" si="22"/>
        <v>22.5</v>
      </c>
      <c r="M345">
        <f t="shared" si="23"/>
        <v>37.5</v>
      </c>
    </row>
    <row r="346" spans="1:13" x14ac:dyDescent="0.45">
      <c r="A346">
        <v>345</v>
      </c>
      <c r="B346" t="s">
        <v>13</v>
      </c>
      <c r="C346">
        <v>1975</v>
      </c>
      <c r="D346">
        <v>50</v>
      </c>
      <c r="E346">
        <v>43</v>
      </c>
      <c r="F346">
        <v>34</v>
      </c>
      <c r="G346" t="s">
        <v>14</v>
      </c>
      <c r="H346" t="s">
        <v>14</v>
      </c>
      <c r="I346" t="s">
        <v>16</v>
      </c>
      <c r="J346">
        <f t="shared" si="20"/>
        <v>55.000000000000007</v>
      </c>
      <c r="K346">
        <f t="shared" si="21"/>
        <v>73.599999999999994</v>
      </c>
      <c r="L346">
        <f t="shared" si="22"/>
        <v>40</v>
      </c>
      <c r="M346">
        <f t="shared" si="23"/>
        <v>60.16</v>
      </c>
    </row>
    <row r="347" spans="1:13" x14ac:dyDescent="0.45">
      <c r="A347">
        <v>346</v>
      </c>
      <c r="B347" t="s">
        <v>15</v>
      </c>
      <c r="C347">
        <v>470</v>
      </c>
      <c r="D347">
        <v>68</v>
      </c>
      <c r="E347">
        <v>35</v>
      </c>
      <c r="F347">
        <v>29</v>
      </c>
      <c r="G347" t="s">
        <v>14</v>
      </c>
      <c r="H347" t="s">
        <v>14</v>
      </c>
      <c r="I347" t="s">
        <v>14</v>
      </c>
      <c r="J347">
        <f t="shared" si="20"/>
        <v>67.320000000000007</v>
      </c>
      <c r="K347">
        <f t="shared" si="21"/>
        <v>71.099999999999994</v>
      </c>
      <c r="L347">
        <f t="shared" si="22"/>
        <v>49</v>
      </c>
      <c r="M347">
        <f t="shared" si="23"/>
        <v>62.26</v>
      </c>
    </row>
    <row r="348" spans="1:13" x14ac:dyDescent="0.45">
      <c r="A348">
        <v>347</v>
      </c>
      <c r="B348" t="s">
        <v>15</v>
      </c>
      <c r="C348">
        <v>1018</v>
      </c>
      <c r="D348">
        <v>58</v>
      </c>
      <c r="E348">
        <v>28</v>
      </c>
      <c r="F348">
        <v>34</v>
      </c>
      <c r="G348" t="s">
        <v>16</v>
      </c>
      <c r="H348" t="s">
        <v>14</v>
      </c>
      <c r="I348" t="s">
        <v>14</v>
      </c>
      <c r="J348">
        <f t="shared" si="20"/>
        <v>57.420000000000009</v>
      </c>
      <c r="K348">
        <f t="shared" si="21"/>
        <v>68.599999999999994</v>
      </c>
      <c r="L348">
        <f t="shared" si="22"/>
        <v>34</v>
      </c>
      <c r="M348">
        <f t="shared" si="23"/>
        <v>54.76</v>
      </c>
    </row>
    <row r="349" spans="1:13" x14ac:dyDescent="0.45">
      <c r="A349">
        <v>348</v>
      </c>
      <c r="B349" t="s">
        <v>13</v>
      </c>
      <c r="C349">
        <v>720</v>
      </c>
      <c r="D349">
        <v>88</v>
      </c>
      <c r="E349">
        <v>46</v>
      </c>
      <c r="F349">
        <v>31</v>
      </c>
      <c r="G349" t="s">
        <v>16</v>
      </c>
      <c r="H349" t="s">
        <v>16</v>
      </c>
      <c r="I349" t="s">
        <v>16</v>
      </c>
      <c r="J349">
        <f t="shared" si="20"/>
        <v>88</v>
      </c>
      <c r="K349">
        <f t="shared" si="21"/>
        <v>73.900000000000006</v>
      </c>
      <c r="L349">
        <f t="shared" si="22"/>
        <v>44</v>
      </c>
      <c r="M349">
        <f t="shared" si="23"/>
        <v>61.940000000000005</v>
      </c>
    </row>
    <row r="350" spans="1:13" x14ac:dyDescent="0.45">
      <c r="A350">
        <v>349</v>
      </c>
      <c r="B350" t="s">
        <v>15</v>
      </c>
      <c r="C350">
        <v>476</v>
      </c>
      <c r="D350">
        <v>54</v>
      </c>
      <c r="E350">
        <v>40</v>
      </c>
      <c r="F350">
        <v>32</v>
      </c>
      <c r="G350" t="s">
        <v>16</v>
      </c>
      <c r="H350" t="s">
        <v>14</v>
      </c>
      <c r="I350" t="s">
        <v>14</v>
      </c>
      <c r="J350">
        <f t="shared" si="20"/>
        <v>53.460000000000008</v>
      </c>
      <c r="K350">
        <f t="shared" si="21"/>
        <v>78.8</v>
      </c>
      <c r="L350">
        <f t="shared" si="22"/>
        <v>32</v>
      </c>
      <c r="M350">
        <f t="shared" si="23"/>
        <v>60.08</v>
      </c>
    </row>
    <row r="351" spans="1:13" x14ac:dyDescent="0.45">
      <c r="A351">
        <v>350</v>
      </c>
      <c r="B351" t="s">
        <v>13</v>
      </c>
      <c r="C351">
        <v>835</v>
      </c>
      <c r="D351">
        <v>45</v>
      </c>
      <c r="E351">
        <v>25</v>
      </c>
      <c r="F351">
        <v>29</v>
      </c>
      <c r="G351" t="s">
        <v>16</v>
      </c>
      <c r="H351" t="s">
        <v>16</v>
      </c>
      <c r="I351" t="s">
        <v>14</v>
      </c>
      <c r="J351">
        <f t="shared" si="20"/>
        <v>45</v>
      </c>
      <c r="K351">
        <f t="shared" si="21"/>
        <v>61.1</v>
      </c>
      <c r="L351">
        <f t="shared" si="22"/>
        <v>22.5</v>
      </c>
      <c r="M351">
        <f t="shared" si="23"/>
        <v>45.66</v>
      </c>
    </row>
    <row r="352" spans="1:13" x14ac:dyDescent="0.45">
      <c r="A352">
        <v>351</v>
      </c>
      <c r="B352" t="s">
        <v>17</v>
      </c>
      <c r="C352">
        <v>1623</v>
      </c>
      <c r="D352">
        <v>84</v>
      </c>
      <c r="E352">
        <v>30</v>
      </c>
      <c r="F352">
        <v>15</v>
      </c>
      <c r="G352" t="s">
        <v>14</v>
      </c>
      <c r="H352" t="s">
        <v>14</v>
      </c>
      <c r="I352" t="s">
        <v>14</v>
      </c>
      <c r="J352">
        <f t="shared" si="20"/>
        <v>101.64000000000001</v>
      </c>
      <c r="K352">
        <f t="shared" si="21"/>
        <v>53.5</v>
      </c>
      <c r="L352">
        <f t="shared" si="22"/>
        <v>57</v>
      </c>
      <c r="M352">
        <f t="shared" si="23"/>
        <v>54.900000000000006</v>
      </c>
    </row>
    <row r="353" spans="1:13" x14ac:dyDescent="0.45">
      <c r="A353">
        <v>352</v>
      </c>
      <c r="B353" t="s">
        <v>13</v>
      </c>
      <c r="C353">
        <v>1105</v>
      </c>
      <c r="D353">
        <v>74</v>
      </c>
      <c r="E353">
        <v>51</v>
      </c>
      <c r="F353">
        <v>36</v>
      </c>
      <c r="G353" t="s">
        <v>14</v>
      </c>
      <c r="H353" t="s">
        <v>16</v>
      </c>
      <c r="I353" t="s">
        <v>16</v>
      </c>
      <c r="J353">
        <f t="shared" si="20"/>
        <v>74</v>
      </c>
      <c r="K353">
        <f t="shared" si="21"/>
        <v>83.4</v>
      </c>
      <c r="L353">
        <f t="shared" si="22"/>
        <v>47</v>
      </c>
      <c r="M353">
        <f t="shared" si="23"/>
        <v>68.84</v>
      </c>
    </row>
    <row r="354" spans="1:13" x14ac:dyDescent="0.45">
      <c r="A354">
        <v>353</v>
      </c>
      <c r="B354" t="s">
        <v>15</v>
      </c>
      <c r="C354">
        <v>1896</v>
      </c>
      <c r="D354">
        <v>91</v>
      </c>
      <c r="E354">
        <v>47</v>
      </c>
      <c r="F354">
        <v>40</v>
      </c>
      <c r="G354" t="s">
        <v>16</v>
      </c>
      <c r="H354" t="s">
        <v>14</v>
      </c>
      <c r="I354" t="s">
        <v>14</v>
      </c>
      <c r="J354">
        <f t="shared" si="20"/>
        <v>90.090000000000018</v>
      </c>
      <c r="K354">
        <f t="shared" si="21"/>
        <v>93</v>
      </c>
      <c r="L354">
        <f t="shared" si="22"/>
        <v>50.5</v>
      </c>
      <c r="M354">
        <f t="shared" si="23"/>
        <v>76</v>
      </c>
    </row>
    <row r="355" spans="1:13" x14ac:dyDescent="0.45">
      <c r="A355">
        <v>354</v>
      </c>
      <c r="B355" t="s">
        <v>13</v>
      </c>
      <c r="C355">
        <v>1132</v>
      </c>
      <c r="D355">
        <v>50</v>
      </c>
      <c r="E355">
        <v>28</v>
      </c>
      <c r="F355">
        <v>33</v>
      </c>
      <c r="G355" t="s">
        <v>14</v>
      </c>
      <c r="H355" t="s">
        <v>16</v>
      </c>
      <c r="I355" t="s">
        <v>14</v>
      </c>
      <c r="J355">
        <f t="shared" si="20"/>
        <v>50</v>
      </c>
      <c r="K355">
        <f t="shared" si="21"/>
        <v>67.7</v>
      </c>
      <c r="L355">
        <f t="shared" si="22"/>
        <v>35</v>
      </c>
      <c r="M355">
        <f t="shared" si="23"/>
        <v>54.62</v>
      </c>
    </row>
    <row r="356" spans="1:13" x14ac:dyDescent="0.45">
      <c r="A356">
        <v>355</v>
      </c>
      <c r="B356" t="s">
        <v>13</v>
      </c>
      <c r="C356">
        <v>1411</v>
      </c>
      <c r="D356">
        <v>52</v>
      </c>
      <c r="E356">
        <v>33</v>
      </c>
      <c r="F356">
        <v>33</v>
      </c>
      <c r="G356" t="s">
        <v>16</v>
      </c>
      <c r="H356" t="s">
        <v>14</v>
      </c>
      <c r="I356" t="s">
        <v>14</v>
      </c>
      <c r="J356">
        <f t="shared" si="20"/>
        <v>57.2</v>
      </c>
      <c r="K356">
        <f t="shared" si="21"/>
        <v>72.7</v>
      </c>
      <c r="L356">
        <f t="shared" si="22"/>
        <v>31</v>
      </c>
      <c r="M356">
        <f t="shared" si="23"/>
        <v>56.019999999999996</v>
      </c>
    </row>
    <row r="357" spans="1:13" x14ac:dyDescent="0.45">
      <c r="A357">
        <v>356</v>
      </c>
      <c r="B357" t="s">
        <v>17</v>
      </c>
      <c r="C357">
        <v>821</v>
      </c>
      <c r="D357">
        <v>62</v>
      </c>
      <c r="E357">
        <v>37</v>
      </c>
      <c r="F357">
        <v>32</v>
      </c>
      <c r="G357" t="s">
        <v>16</v>
      </c>
      <c r="H357" t="s">
        <v>16</v>
      </c>
      <c r="I357" t="s">
        <v>14</v>
      </c>
      <c r="J357">
        <f t="shared" si="20"/>
        <v>68.2</v>
      </c>
      <c r="K357">
        <f t="shared" si="21"/>
        <v>75.8</v>
      </c>
      <c r="L357">
        <f t="shared" si="22"/>
        <v>31</v>
      </c>
      <c r="M357">
        <f t="shared" si="23"/>
        <v>57.879999999999995</v>
      </c>
    </row>
    <row r="358" spans="1:13" x14ac:dyDescent="0.45">
      <c r="A358">
        <v>357</v>
      </c>
      <c r="B358" t="s">
        <v>13</v>
      </c>
      <c r="C358">
        <v>1870</v>
      </c>
      <c r="D358">
        <v>91</v>
      </c>
      <c r="E358">
        <v>39</v>
      </c>
      <c r="F358">
        <v>22</v>
      </c>
      <c r="G358" t="s">
        <v>14</v>
      </c>
      <c r="H358" t="s">
        <v>16</v>
      </c>
      <c r="I358" t="s">
        <v>16</v>
      </c>
      <c r="J358">
        <f t="shared" si="20"/>
        <v>91</v>
      </c>
      <c r="K358">
        <f t="shared" si="21"/>
        <v>58.8</v>
      </c>
      <c r="L358">
        <f t="shared" si="22"/>
        <v>55.5</v>
      </c>
      <c r="M358">
        <f t="shared" si="23"/>
        <v>57.48</v>
      </c>
    </row>
    <row r="359" spans="1:13" x14ac:dyDescent="0.45">
      <c r="A359">
        <v>358</v>
      </c>
      <c r="B359" t="s">
        <v>15</v>
      </c>
      <c r="C359">
        <v>833</v>
      </c>
      <c r="D359">
        <v>77</v>
      </c>
      <c r="E359">
        <v>50</v>
      </c>
      <c r="F359">
        <v>17</v>
      </c>
      <c r="G359" t="s">
        <v>14</v>
      </c>
      <c r="H359" t="s">
        <v>16</v>
      </c>
      <c r="I359" t="s">
        <v>16</v>
      </c>
      <c r="J359">
        <f t="shared" si="20"/>
        <v>69.3</v>
      </c>
      <c r="K359">
        <f t="shared" si="21"/>
        <v>65.3</v>
      </c>
      <c r="L359">
        <f t="shared" si="22"/>
        <v>48.5</v>
      </c>
      <c r="M359">
        <f t="shared" si="23"/>
        <v>58.58</v>
      </c>
    </row>
    <row r="360" spans="1:13" x14ac:dyDescent="0.45">
      <c r="A360">
        <v>359</v>
      </c>
      <c r="B360" t="s">
        <v>15</v>
      </c>
      <c r="C360">
        <v>262</v>
      </c>
      <c r="D360">
        <v>86</v>
      </c>
      <c r="E360">
        <v>60</v>
      </c>
      <c r="F360">
        <v>18</v>
      </c>
      <c r="G360" t="s">
        <v>16</v>
      </c>
      <c r="H360" t="s">
        <v>16</v>
      </c>
      <c r="I360" t="s">
        <v>16</v>
      </c>
      <c r="J360">
        <f t="shared" si="20"/>
        <v>77.400000000000006</v>
      </c>
      <c r="K360">
        <f t="shared" si="21"/>
        <v>76.2</v>
      </c>
      <c r="L360">
        <f t="shared" si="22"/>
        <v>43</v>
      </c>
      <c r="M360">
        <f t="shared" si="23"/>
        <v>62.92</v>
      </c>
    </row>
    <row r="361" spans="1:13" x14ac:dyDescent="0.45">
      <c r="A361">
        <v>360</v>
      </c>
      <c r="B361" t="s">
        <v>13</v>
      </c>
      <c r="C361">
        <v>1498</v>
      </c>
      <c r="D361">
        <v>84</v>
      </c>
      <c r="E361">
        <v>57</v>
      </c>
      <c r="F361">
        <v>32</v>
      </c>
      <c r="G361" t="s">
        <v>14</v>
      </c>
      <c r="H361" t="s">
        <v>14</v>
      </c>
      <c r="I361" t="s">
        <v>16</v>
      </c>
      <c r="J361">
        <f t="shared" si="20"/>
        <v>92.4</v>
      </c>
      <c r="K361">
        <f t="shared" si="21"/>
        <v>85.8</v>
      </c>
      <c r="L361">
        <f t="shared" si="22"/>
        <v>57</v>
      </c>
      <c r="M361">
        <f t="shared" si="23"/>
        <v>74.28</v>
      </c>
    </row>
    <row r="362" spans="1:13" x14ac:dyDescent="0.45">
      <c r="A362">
        <v>361</v>
      </c>
      <c r="B362" t="s">
        <v>13</v>
      </c>
      <c r="C362">
        <v>570</v>
      </c>
      <c r="D362">
        <v>78</v>
      </c>
      <c r="E362">
        <v>39</v>
      </c>
      <c r="F362">
        <v>20</v>
      </c>
      <c r="G362" t="s">
        <v>14</v>
      </c>
      <c r="H362" t="s">
        <v>14</v>
      </c>
      <c r="I362" t="s">
        <v>14</v>
      </c>
      <c r="J362">
        <f t="shared" si="20"/>
        <v>85.800000000000011</v>
      </c>
      <c r="K362">
        <f t="shared" si="21"/>
        <v>67</v>
      </c>
      <c r="L362">
        <f t="shared" si="22"/>
        <v>54</v>
      </c>
      <c r="M362">
        <f t="shared" si="23"/>
        <v>61.8</v>
      </c>
    </row>
    <row r="363" spans="1:13" x14ac:dyDescent="0.45">
      <c r="A363">
        <v>362</v>
      </c>
      <c r="B363" t="s">
        <v>13</v>
      </c>
      <c r="C363">
        <v>654</v>
      </c>
      <c r="D363">
        <v>80</v>
      </c>
      <c r="E363">
        <v>56</v>
      </c>
      <c r="F363">
        <v>17</v>
      </c>
      <c r="G363" t="s">
        <v>16</v>
      </c>
      <c r="H363" t="s">
        <v>16</v>
      </c>
      <c r="I363" t="s">
        <v>14</v>
      </c>
      <c r="J363">
        <f t="shared" si="20"/>
        <v>80</v>
      </c>
      <c r="K363">
        <f t="shared" si="21"/>
        <v>81.3</v>
      </c>
      <c r="L363">
        <f t="shared" si="22"/>
        <v>40</v>
      </c>
      <c r="M363">
        <f t="shared" si="23"/>
        <v>64.78</v>
      </c>
    </row>
    <row r="364" spans="1:13" x14ac:dyDescent="0.45">
      <c r="A364">
        <v>363</v>
      </c>
      <c r="B364" t="s">
        <v>15</v>
      </c>
      <c r="C364">
        <v>318</v>
      </c>
      <c r="D364">
        <v>70</v>
      </c>
      <c r="E364">
        <v>22</v>
      </c>
      <c r="F364">
        <v>39</v>
      </c>
      <c r="G364" t="s">
        <v>14</v>
      </c>
      <c r="H364" t="s">
        <v>16</v>
      </c>
      <c r="I364" t="s">
        <v>14</v>
      </c>
      <c r="J364">
        <f t="shared" si="20"/>
        <v>63</v>
      </c>
      <c r="K364">
        <f t="shared" si="21"/>
        <v>67.099999999999994</v>
      </c>
      <c r="L364">
        <f t="shared" si="22"/>
        <v>45</v>
      </c>
      <c r="M364">
        <f t="shared" si="23"/>
        <v>58.26</v>
      </c>
    </row>
    <row r="365" spans="1:13" x14ac:dyDescent="0.45">
      <c r="A365">
        <v>364</v>
      </c>
      <c r="B365" t="s">
        <v>15</v>
      </c>
      <c r="C365">
        <v>1000</v>
      </c>
      <c r="D365">
        <v>56</v>
      </c>
      <c r="E365">
        <v>22</v>
      </c>
      <c r="F365">
        <v>18</v>
      </c>
      <c r="G365" t="s">
        <v>14</v>
      </c>
      <c r="H365" t="s">
        <v>16</v>
      </c>
      <c r="I365" t="s">
        <v>16</v>
      </c>
      <c r="J365">
        <f t="shared" si="20"/>
        <v>50.4</v>
      </c>
      <c r="K365">
        <f t="shared" si="21"/>
        <v>38.200000000000003</v>
      </c>
      <c r="L365">
        <f t="shared" si="22"/>
        <v>38</v>
      </c>
      <c r="M365">
        <f t="shared" si="23"/>
        <v>38.120000000000005</v>
      </c>
    </row>
    <row r="366" spans="1:13" x14ac:dyDescent="0.45">
      <c r="A366">
        <v>365</v>
      </c>
      <c r="B366" t="s">
        <v>17</v>
      </c>
      <c r="C366">
        <v>481</v>
      </c>
      <c r="D366">
        <v>94</v>
      </c>
      <c r="E366">
        <v>31</v>
      </c>
      <c r="F366">
        <v>24</v>
      </c>
      <c r="G366" t="s">
        <v>14</v>
      </c>
      <c r="H366" t="s">
        <v>16</v>
      </c>
      <c r="I366" t="s">
        <v>14</v>
      </c>
      <c r="J366">
        <f t="shared" si="20"/>
        <v>103.4</v>
      </c>
      <c r="K366">
        <f t="shared" si="21"/>
        <v>62.6</v>
      </c>
      <c r="L366">
        <f t="shared" si="22"/>
        <v>57</v>
      </c>
      <c r="M366">
        <f t="shared" si="23"/>
        <v>60.36</v>
      </c>
    </row>
    <row r="367" spans="1:13" x14ac:dyDescent="0.45">
      <c r="A367">
        <v>366</v>
      </c>
      <c r="B367" t="s">
        <v>15</v>
      </c>
      <c r="C367">
        <v>755</v>
      </c>
      <c r="D367">
        <v>78</v>
      </c>
      <c r="E367">
        <v>59</v>
      </c>
      <c r="F367">
        <v>39</v>
      </c>
      <c r="G367" t="s">
        <v>14</v>
      </c>
      <c r="H367" t="s">
        <v>16</v>
      </c>
      <c r="I367" t="s">
        <v>16</v>
      </c>
      <c r="J367">
        <f t="shared" si="20"/>
        <v>70.2</v>
      </c>
      <c r="K367">
        <f t="shared" si="21"/>
        <v>94.1</v>
      </c>
      <c r="L367">
        <f t="shared" si="22"/>
        <v>49</v>
      </c>
      <c r="M367">
        <f t="shared" si="23"/>
        <v>76.06</v>
      </c>
    </row>
    <row r="368" spans="1:13" x14ac:dyDescent="0.45">
      <c r="A368">
        <v>367</v>
      </c>
      <c r="B368" t="s">
        <v>15</v>
      </c>
      <c r="C368">
        <v>629</v>
      </c>
      <c r="D368">
        <v>84</v>
      </c>
      <c r="E368">
        <v>23</v>
      </c>
      <c r="F368">
        <v>31</v>
      </c>
      <c r="G368" t="s">
        <v>14</v>
      </c>
      <c r="H368" t="s">
        <v>14</v>
      </c>
      <c r="I368" t="s">
        <v>16</v>
      </c>
      <c r="J368">
        <f t="shared" si="20"/>
        <v>83.160000000000011</v>
      </c>
      <c r="K368">
        <f t="shared" si="21"/>
        <v>50.9</v>
      </c>
      <c r="L368">
        <f t="shared" si="22"/>
        <v>57</v>
      </c>
      <c r="M368">
        <f t="shared" si="23"/>
        <v>53.34</v>
      </c>
    </row>
    <row r="369" spans="1:13" x14ac:dyDescent="0.45">
      <c r="A369">
        <v>368</v>
      </c>
      <c r="B369" t="s">
        <v>17</v>
      </c>
      <c r="C369">
        <v>1870</v>
      </c>
      <c r="D369">
        <v>57</v>
      </c>
      <c r="E369">
        <v>41</v>
      </c>
      <c r="F369">
        <v>30</v>
      </c>
      <c r="G369" t="s">
        <v>16</v>
      </c>
      <c r="H369" t="s">
        <v>16</v>
      </c>
      <c r="I369" t="s">
        <v>16</v>
      </c>
      <c r="J369">
        <f t="shared" si="20"/>
        <v>62.7</v>
      </c>
      <c r="K369">
        <f t="shared" si="21"/>
        <v>68</v>
      </c>
      <c r="L369">
        <f t="shared" si="22"/>
        <v>28.5</v>
      </c>
      <c r="M369">
        <f t="shared" si="23"/>
        <v>52.199999999999996</v>
      </c>
    </row>
    <row r="370" spans="1:13" x14ac:dyDescent="0.45">
      <c r="A370">
        <v>369</v>
      </c>
      <c r="B370" t="s">
        <v>17</v>
      </c>
      <c r="C370">
        <v>1418</v>
      </c>
      <c r="D370">
        <v>72</v>
      </c>
      <c r="E370">
        <v>41</v>
      </c>
      <c r="F370">
        <v>17</v>
      </c>
      <c r="G370" t="s">
        <v>16</v>
      </c>
      <c r="H370" t="s">
        <v>14</v>
      </c>
      <c r="I370" t="s">
        <v>14</v>
      </c>
      <c r="J370">
        <f t="shared" si="20"/>
        <v>87.12</v>
      </c>
      <c r="K370">
        <f t="shared" si="21"/>
        <v>66.3</v>
      </c>
      <c r="L370">
        <f t="shared" si="22"/>
        <v>41</v>
      </c>
      <c r="M370">
        <f t="shared" si="23"/>
        <v>56.179999999999993</v>
      </c>
    </row>
    <row r="371" spans="1:13" x14ac:dyDescent="0.45">
      <c r="A371">
        <v>370</v>
      </c>
      <c r="B371" t="s">
        <v>13</v>
      </c>
      <c r="C371">
        <v>717</v>
      </c>
      <c r="D371">
        <v>85</v>
      </c>
      <c r="E371">
        <v>29</v>
      </c>
      <c r="F371">
        <v>39</v>
      </c>
      <c r="G371" t="s">
        <v>16</v>
      </c>
      <c r="H371" t="s">
        <v>16</v>
      </c>
      <c r="I371" t="s">
        <v>16</v>
      </c>
      <c r="J371">
        <f t="shared" si="20"/>
        <v>85</v>
      </c>
      <c r="K371">
        <f t="shared" si="21"/>
        <v>64.099999999999994</v>
      </c>
      <c r="L371">
        <f t="shared" si="22"/>
        <v>42.5</v>
      </c>
      <c r="M371">
        <f t="shared" si="23"/>
        <v>55.459999999999994</v>
      </c>
    </row>
    <row r="372" spans="1:13" x14ac:dyDescent="0.45">
      <c r="A372">
        <v>371</v>
      </c>
      <c r="B372" t="s">
        <v>15</v>
      </c>
      <c r="C372">
        <v>1517</v>
      </c>
      <c r="D372">
        <v>57</v>
      </c>
      <c r="E372">
        <v>40</v>
      </c>
      <c r="F372">
        <v>29</v>
      </c>
      <c r="G372" t="s">
        <v>16</v>
      </c>
      <c r="H372" t="s">
        <v>16</v>
      </c>
      <c r="I372" t="s">
        <v>14</v>
      </c>
      <c r="J372">
        <f t="shared" si="20"/>
        <v>51.300000000000004</v>
      </c>
      <c r="K372">
        <f t="shared" si="21"/>
        <v>76.099999999999994</v>
      </c>
      <c r="L372">
        <f t="shared" si="22"/>
        <v>28.5</v>
      </c>
      <c r="M372">
        <f t="shared" si="23"/>
        <v>57.059999999999995</v>
      </c>
    </row>
    <row r="373" spans="1:13" x14ac:dyDescent="0.45">
      <c r="A373">
        <v>372</v>
      </c>
      <c r="B373" t="s">
        <v>13</v>
      </c>
      <c r="C373">
        <v>1614</v>
      </c>
      <c r="D373">
        <v>72</v>
      </c>
      <c r="E373">
        <v>37</v>
      </c>
      <c r="F373">
        <v>37</v>
      </c>
      <c r="G373" t="s">
        <v>14</v>
      </c>
      <c r="H373" t="s">
        <v>14</v>
      </c>
      <c r="I373" t="s">
        <v>14</v>
      </c>
      <c r="J373">
        <f t="shared" si="20"/>
        <v>79.2</v>
      </c>
      <c r="K373">
        <f t="shared" si="21"/>
        <v>80.3</v>
      </c>
      <c r="L373">
        <f t="shared" si="22"/>
        <v>51</v>
      </c>
      <c r="M373">
        <f t="shared" si="23"/>
        <v>68.58</v>
      </c>
    </row>
    <row r="374" spans="1:13" x14ac:dyDescent="0.45">
      <c r="A374">
        <v>373</v>
      </c>
      <c r="B374" t="s">
        <v>17</v>
      </c>
      <c r="C374">
        <v>264</v>
      </c>
      <c r="D374">
        <v>65</v>
      </c>
      <c r="E374">
        <v>34</v>
      </c>
      <c r="F374">
        <v>16</v>
      </c>
      <c r="G374" t="s">
        <v>14</v>
      </c>
      <c r="H374" t="s">
        <v>16</v>
      </c>
      <c r="I374" t="s">
        <v>14</v>
      </c>
      <c r="J374">
        <f t="shared" si="20"/>
        <v>71.5</v>
      </c>
      <c r="K374">
        <f t="shared" si="21"/>
        <v>58.4</v>
      </c>
      <c r="L374">
        <f t="shared" si="22"/>
        <v>42.5</v>
      </c>
      <c r="M374">
        <f t="shared" si="23"/>
        <v>52.04</v>
      </c>
    </row>
    <row r="375" spans="1:13" x14ac:dyDescent="0.45">
      <c r="A375">
        <v>374</v>
      </c>
      <c r="B375" t="s">
        <v>17</v>
      </c>
      <c r="C375">
        <v>979</v>
      </c>
      <c r="D375">
        <v>83</v>
      </c>
      <c r="E375">
        <v>56</v>
      </c>
      <c r="F375">
        <v>27</v>
      </c>
      <c r="G375" t="s">
        <v>14</v>
      </c>
      <c r="H375" t="s">
        <v>16</v>
      </c>
      <c r="I375" t="s">
        <v>14</v>
      </c>
      <c r="J375">
        <f t="shared" si="20"/>
        <v>91.300000000000011</v>
      </c>
      <c r="K375">
        <f t="shared" si="21"/>
        <v>90.3</v>
      </c>
      <c r="L375">
        <f t="shared" si="22"/>
        <v>51.5</v>
      </c>
      <c r="M375">
        <f t="shared" si="23"/>
        <v>74.78</v>
      </c>
    </row>
    <row r="376" spans="1:13" x14ac:dyDescent="0.45">
      <c r="A376">
        <v>375</v>
      </c>
      <c r="B376" t="s">
        <v>13</v>
      </c>
      <c r="C376">
        <v>304</v>
      </c>
      <c r="D376">
        <v>77</v>
      </c>
      <c r="E376">
        <v>60</v>
      </c>
      <c r="F376">
        <v>15</v>
      </c>
      <c r="G376" t="s">
        <v>14</v>
      </c>
      <c r="H376" t="s">
        <v>14</v>
      </c>
      <c r="I376" t="s">
        <v>16</v>
      </c>
      <c r="J376">
        <f t="shared" si="20"/>
        <v>84.7</v>
      </c>
      <c r="K376">
        <f t="shared" si="21"/>
        <v>73.5</v>
      </c>
      <c r="L376">
        <f t="shared" si="22"/>
        <v>53.5</v>
      </c>
      <c r="M376">
        <f t="shared" si="23"/>
        <v>65.5</v>
      </c>
    </row>
    <row r="377" spans="1:13" x14ac:dyDescent="0.45">
      <c r="A377">
        <v>376</v>
      </c>
      <c r="B377" t="s">
        <v>15</v>
      </c>
      <c r="C377">
        <v>1791</v>
      </c>
      <c r="D377">
        <v>55</v>
      </c>
      <c r="E377">
        <v>31</v>
      </c>
      <c r="F377">
        <v>29</v>
      </c>
      <c r="G377" t="s">
        <v>14</v>
      </c>
      <c r="H377" t="s">
        <v>16</v>
      </c>
      <c r="I377" t="s">
        <v>16</v>
      </c>
      <c r="J377">
        <f t="shared" si="20"/>
        <v>49.5</v>
      </c>
      <c r="K377">
        <f t="shared" si="21"/>
        <v>57.1</v>
      </c>
      <c r="L377">
        <f t="shared" si="22"/>
        <v>37.5</v>
      </c>
      <c r="M377">
        <f t="shared" si="23"/>
        <v>49.26</v>
      </c>
    </row>
    <row r="378" spans="1:13" x14ac:dyDescent="0.45">
      <c r="A378">
        <v>377</v>
      </c>
      <c r="B378" t="s">
        <v>17</v>
      </c>
      <c r="C378">
        <v>1879</v>
      </c>
      <c r="D378">
        <v>62</v>
      </c>
      <c r="E378">
        <v>36</v>
      </c>
      <c r="F378">
        <v>20</v>
      </c>
      <c r="G378" t="s">
        <v>16</v>
      </c>
      <c r="H378" t="s">
        <v>16</v>
      </c>
      <c r="I378" t="s">
        <v>14</v>
      </c>
      <c r="J378">
        <f t="shared" si="20"/>
        <v>68.2</v>
      </c>
      <c r="K378">
        <f t="shared" si="21"/>
        <v>64</v>
      </c>
      <c r="L378">
        <f t="shared" si="22"/>
        <v>31</v>
      </c>
      <c r="M378">
        <f t="shared" si="23"/>
        <v>50.8</v>
      </c>
    </row>
    <row r="379" spans="1:13" x14ac:dyDescent="0.45">
      <c r="A379">
        <v>378</v>
      </c>
      <c r="B379" t="s">
        <v>15</v>
      </c>
      <c r="C379">
        <v>1274</v>
      </c>
      <c r="D379">
        <v>50</v>
      </c>
      <c r="E379">
        <v>56</v>
      </c>
      <c r="F379">
        <v>27</v>
      </c>
      <c r="G379" t="s">
        <v>14</v>
      </c>
      <c r="H379" t="s">
        <v>16</v>
      </c>
      <c r="I379" t="s">
        <v>16</v>
      </c>
      <c r="J379">
        <f t="shared" si="20"/>
        <v>45</v>
      </c>
      <c r="K379">
        <f t="shared" si="21"/>
        <v>80.3</v>
      </c>
      <c r="L379">
        <f t="shared" si="22"/>
        <v>35</v>
      </c>
      <c r="M379">
        <f t="shared" si="23"/>
        <v>62.18</v>
      </c>
    </row>
    <row r="380" spans="1:13" x14ac:dyDescent="0.45">
      <c r="A380">
        <v>379</v>
      </c>
      <c r="B380" t="s">
        <v>17</v>
      </c>
      <c r="C380">
        <v>1315</v>
      </c>
      <c r="D380">
        <v>57</v>
      </c>
      <c r="E380">
        <v>36</v>
      </c>
      <c r="F380">
        <v>23</v>
      </c>
      <c r="G380" t="s">
        <v>16</v>
      </c>
      <c r="H380" t="s">
        <v>16</v>
      </c>
      <c r="I380" t="s">
        <v>14</v>
      </c>
      <c r="J380">
        <f t="shared" si="20"/>
        <v>62.7</v>
      </c>
      <c r="K380">
        <f t="shared" si="21"/>
        <v>66.7</v>
      </c>
      <c r="L380">
        <f t="shared" si="22"/>
        <v>28.5</v>
      </c>
      <c r="M380">
        <f t="shared" si="23"/>
        <v>51.42</v>
      </c>
    </row>
    <row r="381" spans="1:13" x14ac:dyDescent="0.45">
      <c r="A381">
        <v>380</v>
      </c>
      <c r="B381" t="s">
        <v>13</v>
      </c>
      <c r="C381">
        <v>1970</v>
      </c>
      <c r="D381">
        <v>60</v>
      </c>
      <c r="E381">
        <v>52</v>
      </c>
      <c r="F381">
        <v>19</v>
      </c>
      <c r="G381" t="s">
        <v>14</v>
      </c>
      <c r="H381" t="s">
        <v>14</v>
      </c>
      <c r="I381" t="s">
        <v>14</v>
      </c>
      <c r="J381">
        <f t="shared" si="20"/>
        <v>66</v>
      </c>
      <c r="K381">
        <f t="shared" si="21"/>
        <v>79.099999999999994</v>
      </c>
      <c r="L381">
        <f t="shared" si="22"/>
        <v>45</v>
      </c>
      <c r="M381">
        <f t="shared" si="23"/>
        <v>65.459999999999994</v>
      </c>
    </row>
    <row r="382" spans="1:13" x14ac:dyDescent="0.45">
      <c r="A382">
        <v>381</v>
      </c>
      <c r="B382" t="s">
        <v>17</v>
      </c>
      <c r="C382">
        <v>1772</v>
      </c>
      <c r="D382">
        <v>57</v>
      </c>
      <c r="E382">
        <v>46</v>
      </c>
      <c r="F382">
        <v>25</v>
      </c>
      <c r="G382" t="s">
        <v>14</v>
      </c>
      <c r="H382" t="s">
        <v>14</v>
      </c>
      <c r="I382" t="s">
        <v>14</v>
      </c>
      <c r="J382">
        <f t="shared" si="20"/>
        <v>68.970000000000013</v>
      </c>
      <c r="K382">
        <f t="shared" si="21"/>
        <v>78.5</v>
      </c>
      <c r="L382">
        <f t="shared" si="22"/>
        <v>43.5</v>
      </c>
      <c r="M382">
        <f t="shared" si="23"/>
        <v>64.5</v>
      </c>
    </row>
    <row r="383" spans="1:13" x14ac:dyDescent="0.45">
      <c r="A383">
        <v>382</v>
      </c>
      <c r="B383" t="s">
        <v>17</v>
      </c>
      <c r="C383">
        <v>729</v>
      </c>
      <c r="D383">
        <v>46</v>
      </c>
      <c r="E383">
        <v>49</v>
      </c>
      <c r="F383">
        <v>30</v>
      </c>
      <c r="G383" t="s">
        <v>14</v>
      </c>
      <c r="H383" t="s">
        <v>16</v>
      </c>
      <c r="I383" t="s">
        <v>16</v>
      </c>
      <c r="J383">
        <f t="shared" si="20"/>
        <v>50.6</v>
      </c>
      <c r="K383">
        <f t="shared" si="21"/>
        <v>76</v>
      </c>
      <c r="L383">
        <f t="shared" si="22"/>
        <v>33</v>
      </c>
      <c r="M383">
        <f t="shared" si="23"/>
        <v>58.800000000000004</v>
      </c>
    </row>
    <row r="384" spans="1:13" x14ac:dyDescent="0.45">
      <c r="A384">
        <v>383</v>
      </c>
      <c r="B384" t="s">
        <v>13</v>
      </c>
      <c r="C384">
        <v>1047</v>
      </c>
      <c r="D384">
        <v>48</v>
      </c>
      <c r="E384">
        <v>53</v>
      </c>
      <c r="F384">
        <v>21</v>
      </c>
      <c r="G384" t="s">
        <v>16</v>
      </c>
      <c r="H384" t="s">
        <v>14</v>
      </c>
      <c r="I384" t="s">
        <v>16</v>
      </c>
      <c r="J384">
        <f t="shared" si="20"/>
        <v>52.800000000000004</v>
      </c>
      <c r="K384">
        <f t="shared" si="21"/>
        <v>71.900000000000006</v>
      </c>
      <c r="L384">
        <f t="shared" si="22"/>
        <v>29</v>
      </c>
      <c r="M384">
        <f t="shared" si="23"/>
        <v>54.74</v>
      </c>
    </row>
    <row r="385" spans="1:13" x14ac:dyDescent="0.45">
      <c r="A385">
        <v>384</v>
      </c>
      <c r="B385" t="s">
        <v>13</v>
      </c>
      <c r="C385">
        <v>879</v>
      </c>
      <c r="D385">
        <v>43</v>
      </c>
      <c r="E385">
        <v>32</v>
      </c>
      <c r="F385">
        <v>16</v>
      </c>
      <c r="G385" t="s">
        <v>14</v>
      </c>
      <c r="H385" t="s">
        <v>16</v>
      </c>
      <c r="I385" t="s">
        <v>16</v>
      </c>
      <c r="J385">
        <f t="shared" si="20"/>
        <v>43</v>
      </c>
      <c r="K385">
        <f t="shared" si="21"/>
        <v>46.4</v>
      </c>
      <c r="L385">
        <f t="shared" si="22"/>
        <v>31.5</v>
      </c>
      <c r="M385">
        <f t="shared" si="23"/>
        <v>40.44</v>
      </c>
    </row>
    <row r="386" spans="1:13" x14ac:dyDescent="0.45">
      <c r="A386">
        <v>385</v>
      </c>
      <c r="B386" t="s">
        <v>15</v>
      </c>
      <c r="C386">
        <v>1078</v>
      </c>
      <c r="D386">
        <v>83</v>
      </c>
      <c r="E386">
        <v>23</v>
      </c>
      <c r="F386">
        <v>25</v>
      </c>
      <c r="G386" t="s">
        <v>16</v>
      </c>
      <c r="H386" t="s">
        <v>16</v>
      </c>
      <c r="I386" t="s">
        <v>14</v>
      </c>
      <c r="J386">
        <f t="shared" ref="J386:J449" si="24">D386*(IF(B386="Residential",0.9,IF(B386="Commercial",1,IF(B386="Infrastructure",1.1,1))))*(IF(H386="Yes",1.1,1))</f>
        <v>74.7</v>
      </c>
      <c r="K386">
        <f t="shared" ref="K386:K449" si="25">MIN((((E386*100)+(F386*90))/100)+IF(I386="Yes",10,0),100)</f>
        <v>55.5</v>
      </c>
      <c r="L386">
        <f t="shared" ref="L386:L449" si="26">MIN((D386*0.5)+IF(G386="Yes",10,0)+IF(H386="Yes",5,0),100)</f>
        <v>41.5</v>
      </c>
      <c r="M386">
        <f t="shared" ref="M386:M449" si="27">MIN((K386*0.6)+(L386*0.4),100)</f>
        <v>49.9</v>
      </c>
    </row>
    <row r="387" spans="1:13" x14ac:dyDescent="0.45">
      <c r="A387">
        <v>386</v>
      </c>
      <c r="B387" t="s">
        <v>13</v>
      </c>
      <c r="C387">
        <v>961</v>
      </c>
      <c r="D387">
        <v>68</v>
      </c>
      <c r="E387">
        <v>57</v>
      </c>
      <c r="F387">
        <v>26</v>
      </c>
      <c r="G387" t="s">
        <v>16</v>
      </c>
      <c r="H387" t="s">
        <v>16</v>
      </c>
      <c r="I387" t="s">
        <v>14</v>
      </c>
      <c r="J387">
        <f t="shared" si="24"/>
        <v>68</v>
      </c>
      <c r="K387">
        <f t="shared" si="25"/>
        <v>90.4</v>
      </c>
      <c r="L387">
        <f t="shared" si="26"/>
        <v>34</v>
      </c>
      <c r="M387">
        <f t="shared" si="27"/>
        <v>67.84</v>
      </c>
    </row>
    <row r="388" spans="1:13" x14ac:dyDescent="0.45">
      <c r="A388">
        <v>387</v>
      </c>
      <c r="B388" t="s">
        <v>17</v>
      </c>
      <c r="C388">
        <v>1336</v>
      </c>
      <c r="D388">
        <v>47</v>
      </c>
      <c r="E388">
        <v>59</v>
      </c>
      <c r="F388">
        <v>38</v>
      </c>
      <c r="G388" t="s">
        <v>14</v>
      </c>
      <c r="H388" t="s">
        <v>14</v>
      </c>
      <c r="I388" t="s">
        <v>16</v>
      </c>
      <c r="J388">
        <f t="shared" si="24"/>
        <v>56.870000000000005</v>
      </c>
      <c r="K388">
        <f t="shared" si="25"/>
        <v>93.2</v>
      </c>
      <c r="L388">
        <f t="shared" si="26"/>
        <v>38.5</v>
      </c>
      <c r="M388">
        <f t="shared" si="27"/>
        <v>71.320000000000007</v>
      </c>
    </row>
    <row r="389" spans="1:13" x14ac:dyDescent="0.45">
      <c r="A389">
        <v>388</v>
      </c>
      <c r="B389" t="s">
        <v>15</v>
      </c>
      <c r="C389">
        <v>1869</v>
      </c>
      <c r="D389">
        <v>93</v>
      </c>
      <c r="E389">
        <v>50</v>
      </c>
      <c r="F389">
        <v>16</v>
      </c>
      <c r="G389" t="s">
        <v>16</v>
      </c>
      <c r="H389" t="s">
        <v>14</v>
      </c>
      <c r="I389" t="s">
        <v>14</v>
      </c>
      <c r="J389">
        <f t="shared" si="24"/>
        <v>92.070000000000007</v>
      </c>
      <c r="K389">
        <f t="shared" si="25"/>
        <v>74.400000000000006</v>
      </c>
      <c r="L389">
        <f t="shared" si="26"/>
        <v>51.5</v>
      </c>
      <c r="M389">
        <f t="shared" si="27"/>
        <v>65.240000000000009</v>
      </c>
    </row>
    <row r="390" spans="1:13" x14ac:dyDescent="0.45">
      <c r="A390">
        <v>389</v>
      </c>
      <c r="B390" t="s">
        <v>15</v>
      </c>
      <c r="C390">
        <v>388</v>
      </c>
      <c r="D390">
        <v>40</v>
      </c>
      <c r="E390">
        <v>34</v>
      </c>
      <c r="F390">
        <v>20</v>
      </c>
      <c r="G390" t="s">
        <v>14</v>
      </c>
      <c r="H390" t="s">
        <v>16</v>
      </c>
      <c r="I390" t="s">
        <v>16</v>
      </c>
      <c r="J390">
        <f t="shared" si="24"/>
        <v>36</v>
      </c>
      <c r="K390">
        <f t="shared" si="25"/>
        <v>52</v>
      </c>
      <c r="L390">
        <f t="shared" si="26"/>
        <v>30</v>
      </c>
      <c r="M390">
        <f t="shared" si="27"/>
        <v>43.2</v>
      </c>
    </row>
    <row r="391" spans="1:13" x14ac:dyDescent="0.45">
      <c r="A391">
        <v>390</v>
      </c>
      <c r="B391" t="s">
        <v>15</v>
      </c>
      <c r="C391">
        <v>403</v>
      </c>
      <c r="D391">
        <v>64</v>
      </c>
      <c r="E391">
        <v>48</v>
      </c>
      <c r="F391">
        <v>29</v>
      </c>
      <c r="G391" t="s">
        <v>16</v>
      </c>
      <c r="H391" t="s">
        <v>16</v>
      </c>
      <c r="I391" t="s">
        <v>14</v>
      </c>
      <c r="J391">
        <f t="shared" si="24"/>
        <v>57.6</v>
      </c>
      <c r="K391">
        <f t="shared" si="25"/>
        <v>84.1</v>
      </c>
      <c r="L391">
        <f t="shared" si="26"/>
        <v>32</v>
      </c>
      <c r="M391">
        <f t="shared" si="27"/>
        <v>63.259999999999991</v>
      </c>
    </row>
    <row r="392" spans="1:13" x14ac:dyDescent="0.45">
      <c r="A392">
        <v>391</v>
      </c>
      <c r="B392" t="s">
        <v>15</v>
      </c>
      <c r="C392">
        <v>431</v>
      </c>
      <c r="D392">
        <v>89</v>
      </c>
      <c r="E392">
        <v>53</v>
      </c>
      <c r="F392">
        <v>19</v>
      </c>
      <c r="G392" t="s">
        <v>14</v>
      </c>
      <c r="H392" t="s">
        <v>16</v>
      </c>
      <c r="I392" t="s">
        <v>14</v>
      </c>
      <c r="J392">
        <f t="shared" si="24"/>
        <v>80.100000000000009</v>
      </c>
      <c r="K392">
        <f t="shared" si="25"/>
        <v>80.099999999999994</v>
      </c>
      <c r="L392">
        <f t="shared" si="26"/>
        <v>54.5</v>
      </c>
      <c r="M392">
        <f t="shared" si="27"/>
        <v>69.86</v>
      </c>
    </row>
    <row r="393" spans="1:13" x14ac:dyDescent="0.45">
      <c r="A393">
        <v>392</v>
      </c>
      <c r="B393" t="s">
        <v>15</v>
      </c>
      <c r="C393">
        <v>385</v>
      </c>
      <c r="D393">
        <v>82</v>
      </c>
      <c r="E393">
        <v>48</v>
      </c>
      <c r="F393">
        <v>27</v>
      </c>
      <c r="G393" t="s">
        <v>14</v>
      </c>
      <c r="H393" t="s">
        <v>16</v>
      </c>
      <c r="I393" t="s">
        <v>16</v>
      </c>
      <c r="J393">
        <f t="shared" si="24"/>
        <v>73.8</v>
      </c>
      <c r="K393">
        <f t="shared" si="25"/>
        <v>72.3</v>
      </c>
      <c r="L393">
        <f t="shared" si="26"/>
        <v>51</v>
      </c>
      <c r="M393">
        <f t="shared" si="27"/>
        <v>63.78</v>
      </c>
    </row>
    <row r="394" spans="1:13" x14ac:dyDescent="0.45">
      <c r="A394">
        <v>393</v>
      </c>
      <c r="B394" t="s">
        <v>13</v>
      </c>
      <c r="C394">
        <v>315</v>
      </c>
      <c r="D394">
        <v>63</v>
      </c>
      <c r="E394">
        <v>53</v>
      </c>
      <c r="F394">
        <v>21</v>
      </c>
      <c r="G394" t="s">
        <v>14</v>
      </c>
      <c r="H394" t="s">
        <v>14</v>
      </c>
      <c r="I394" t="s">
        <v>14</v>
      </c>
      <c r="J394">
        <f t="shared" si="24"/>
        <v>69.300000000000011</v>
      </c>
      <c r="K394">
        <f t="shared" si="25"/>
        <v>81.900000000000006</v>
      </c>
      <c r="L394">
        <f t="shared" si="26"/>
        <v>46.5</v>
      </c>
      <c r="M394">
        <f t="shared" si="27"/>
        <v>67.740000000000009</v>
      </c>
    </row>
    <row r="395" spans="1:13" x14ac:dyDescent="0.45">
      <c r="A395">
        <v>394</v>
      </c>
      <c r="B395" t="s">
        <v>17</v>
      </c>
      <c r="C395">
        <v>1981</v>
      </c>
      <c r="D395">
        <v>40</v>
      </c>
      <c r="E395">
        <v>28</v>
      </c>
      <c r="F395">
        <v>31</v>
      </c>
      <c r="G395" t="s">
        <v>16</v>
      </c>
      <c r="H395" t="s">
        <v>14</v>
      </c>
      <c r="I395" t="s">
        <v>14</v>
      </c>
      <c r="J395">
        <f t="shared" si="24"/>
        <v>48.400000000000006</v>
      </c>
      <c r="K395">
        <f t="shared" si="25"/>
        <v>65.900000000000006</v>
      </c>
      <c r="L395">
        <f t="shared" si="26"/>
        <v>25</v>
      </c>
      <c r="M395">
        <f t="shared" si="27"/>
        <v>49.54</v>
      </c>
    </row>
    <row r="396" spans="1:13" x14ac:dyDescent="0.45">
      <c r="A396">
        <v>395</v>
      </c>
      <c r="B396" t="s">
        <v>15</v>
      </c>
      <c r="C396">
        <v>349</v>
      </c>
      <c r="D396">
        <v>93</v>
      </c>
      <c r="E396">
        <v>25</v>
      </c>
      <c r="F396">
        <v>20</v>
      </c>
      <c r="G396" t="s">
        <v>16</v>
      </c>
      <c r="H396" t="s">
        <v>16</v>
      </c>
      <c r="I396" t="s">
        <v>16</v>
      </c>
      <c r="J396">
        <f t="shared" si="24"/>
        <v>83.7</v>
      </c>
      <c r="K396">
        <f t="shared" si="25"/>
        <v>43</v>
      </c>
      <c r="L396">
        <f t="shared" si="26"/>
        <v>46.5</v>
      </c>
      <c r="M396">
        <f t="shared" si="27"/>
        <v>44.400000000000006</v>
      </c>
    </row>
    <row r="397" spans="1:13" x14ac:dyDescent="0.45">
      <c r="A397">
        <v>396</v>
      </c>
      <c r="B397" t="s">
        <v>13</v>
      </c>
      <c r="C397">
        <v>1434</v>
      </c>
      <c r="D397">
        <v>84</v>
      </c>
      <c r="E397">
        <v>57</v>
      </c>
      <c r="F397">
        <v>30</v>
      </c>
      <c r="G397" t="s">
        <v>16</v>
      </c>
      <c r="H397" t="s">
        <v>14</v>
      </c>
      <c r="I397" t="s">
        <v>16</v>
      </c>
      <c r="J397">
        <f t="shared" si="24"/>
        <v>92.4</v>
      </c>
      <c r="K397">
        <f t="shared" si="25"/>
        <v>84</v>
      </c>
      <c r="L397">
        <f t="shared" si="26"/>
        <v>47</v>
      </c>
      <c r="M397">
        <f t="shared" si="27"/>
        <v>69.2</v>
      </c>
    </row>
    <row r="398" spans="1:13" x14ac:dyDescent="0.45">
      <c r="A398">
        <v>397</v>
      </c>
      <c r="B398" t="s">
        <v>15</v>
      </c>
      <c r="C398">
        <v>919</v>
      </c>
      <c r="D398">
        <v>59</v>
      </c>
      <c r="E398">
        <v>46</v>
      </c>
      <c r="F398">
        <v>33</v>
      </c>
      <c r="G398" t="s">
        <v>16</v>
      </c>
      <c r="H398" t="s">
        <v>16</v>
      </c>
      <c r="I398" t="s">
        <v>14</v>
      </c>
      <c r="J398">
        <f t="shared" si="24"/>
        <v>53.1</v>
      </c>
      <c r="K398">
        <f t="shared" si="25"/>
        <v>85.7</v>
      </c>
      <c r="L398">
        <f t="shared" si="26"/>
        <v>29.5</v>
      </c>
      <c r="M398">
        <f t="shared" si="27"/>
        <v>63.22</v>
      </c>
    </row>
    <row r="399" spans="1:13" x14ac:dyDescent="0.45">
      <c r="A399">
        <v>398</v>
      </c>
      <c r="B399" t="s">
        <v>13</v>
      </c>
      <c r="C399">
        <v>1843</v>
      </c>
      <c r="D399">
        <v>56</v>
      </c>
      <c r="E399">
        <v>37</v>
      </c>
      <c r="F399">
        <v>32</v>
      </c>
      <c r="G399" t="s">
        <v>14</v>
      </c>
      <c r="H399" t="s">
        <v>16</v>
      </c>
      <c r="I399" t="s">
        <v>16</v>
      </c>
      <c r="J399">
        <f t="shared" si="24"/>
        <v>56</v>
      </c>
      <c r="K399">
        <f t="shared" si="25"/>
        <v>65.8</v>
      </c>
      <c r="L399">
        <f t="shared" si="26"/>
        <v>38</v>
      </c>
      <c r="M399">
        <f t="shared" si="27"/>
        <v>54.68</v>
      </c>
    </row>
    <row r="400" spans="1:13" x14ac:dyDescent="0.45">
      <c r="A400">
        <v>399</v>
      </c>
      <c r="B400" t="s">
        <v>17</v>
      </c>
      <c r="C400">
        <v>314</v>
      </c>
      <c r="D400">
        <v>54</v>
      </c>
      <c r="E400">
        <v>34</v>
      </c>
      <c r="F400">
        <v>32</v>
      </c>
      <c r="G400" t="s">
        <v>14</v>
      </c>
      <c r="H400" t="s">
        <v>16</v>
      </c>
      <c r="I400" t="s">
        <v>14</v>
      </c>
      <c r="J400">
        <f t="shared" si="24"/>
        <v>59.400000000000006</v>
      </c>
      <c r="K400">
        <f t="shared" si="25"/>
        <v>72.8</v>
      </c>
      <c r="L400">
        <f t="shared" si="26"/>
        <v>37</v>
      </c>
      <c r="M400">
        <f t="shared" si="27"/>
        <v>58.480000000000004</v>
      </c>
    </row>
    <row r="401" spans="1:13" x14ac:dyDescent="0.45">
      <c r="A401">
        <v>400</v>
      </c>
      <c r="B401" t="s">
        <v>13</v>
      </c>
      <c r="C401">
        <v>1103</v>
      </c>
      <c r="D401">
        <v>88</v>
      </c>
      <c r="E401">
        <v>26</v>
      </c>
      <c r="F401">
        <v>15</v>
      </c>
      <c r="G401" t="s">
        <v>16</v>
      </c>
      <c r="H401" t="s">
        <v>14</v>
      </c>
      <c r="I401" t="s">
        <v>16</v>
      </c>
      <c r="J401">
        <f t="shared" si="24"/>
        <v>96.800000000000011</v>
      </c>
      <c r="K401">
        <f t="shared" si="25"/>
        <v>39.5</v>
      </c>
      <c r="L401">
        <f t="shared" si="26"/>
        <v>49</v>
      </c>
      <c r="M401">
        <f t="shared" si="27"/>
        <v>43.3</v>
      </c>
    </row>
    <row r="402" spans="1:13" x14ac:dyDescent="0.45">
      <c r="A402">
        <v>401</v>
      </c>
      <c r="B402" t="s">
        <v>13</v>
      </c>
      <c r="C402">
        <v>922</v>
      </c>
      <c r="D402">
        <v>64</v>
      </c>
      <c r="E402">
        <v>51</v>
      </c>
      <c r="F402">
        <v>29</v>
      </c>
      <c r="G402" t="s">
        <v>16</v>
      </c>
      <c r="H402" t="s">
        <v>14</v>
      </c>
      <c r="I402" t="s">
        <v>14</v>
      </c>
      <c r="J402">
        <f t="shared" si="24"/>
        <v>70.400000000000006</v>
      </c>
      <c r="K402">
        <f t="shared" si="25"/>
        <v>87.1</v>
      </c>
      <c r="L402">
        <f t="shared" si="26"/>
        <v>37</v>
      </c>
      <c r="M402">
        <f t="shared" si="27"/>
        <v>67.06</v>
      </c>
    </row>
    <row r="403" spans="1:13" x14ac:dyDescent="0.45">
      <c r="A403">
        <v>402</v>
      </c>
      <c r="B403" t="s">
        <v>17</v>
      </c>
      <c r="C403">
        <v>1963</v>
      </c>
      <c r="D403">
        <v>41</v>
      </c>
      <c r="E403">
        <v>42</v>
      </c>
      <c r="F403">
        <v>31</v>
      </c>
      <c r="G403" t="s">
        <v>16</v>
      </c>
      <c r="H403" t="s">
        <v>16</v>
      </c>
      <c r="I403" t="s">
        <v>14</v>
      </c>
      <c r="J403">
        <f t="shared" si="24"/>
        <v>45.1</v>
      </c>
      <c r="K403">
        <f t="shared" si="25"/>
        <v>79.900000000000006</v>
      </c>
      <c r="L403">
        <f t="shared" si="26"/>
        <v>20.5</v>
      </c>
      <c r="M403">
        <f t="shared" si="27"/>
        <v>56.140000000000008</v>
      </c>
    </row>
    <row r="404" spans="1:13" x14ac:dyDescent="0.45">
      <c r="A404">
        <v>403</v>
      </c>
      <c r="B404" t="s">
        <v>15</v>
      </c>
      <c r="C404">
        <v>1872</v>
      </c>
      <c r="D404">
        <v>54</v>
      </c>
      <c r="E404">
        <v>39</v>
      </c>
      <c r="F404">
        <v>30</v>
      </c>
      <c r="G404" t="s">
        <v>14</v>
      </c>
      <c r="H404" t="s">
        <v>14</v>
      </c>
      <c r="I404" t="s">
        <v>14</v>
      </c>
      <c r="J404">
        <f t="shared" si="24"/>
        <v>53.460000000000008</v>
      </c>
      <c r="K404">
        <f t="shared" si="25"/>
        <v>76</v>
      </c>
      <c r="L404">
        <f t="shared" si="26"/>
        <v>42</v>
      </c>
      <c r="M404">
        <f t="shared" si="27"/>
        <v>62.400000000000006</v>
      </c>
    </row>
    <row r="405" spans="1:13" x14ac:dyDescent="0.45">
      <c r="A405">
        <v>404</v>
      </c>
      <c r="B405" t="s">
        <v>13</v>
      </c>
      <c r="C405">
        <v>1872</v>
      </c>
      <c r="D405">
        <v>93</v>
      </c>
      <c r="E405">
        <v>57</v>
      </c>
      <c r="F405">
        <v>33</v>
      </c>
      <c r="G405" t="s">
        <v>16</v>
      </c>
      <c r="H405" t="s">
        <v>14</v>
      </c>
      <c r="I405" t="s">
        <v>16</v>
      </c>
      <c r="J405">
        <f t="shared" si="24"/>
        <v>102.30000000000001</v>
      </c>
      <c r="K405">
        <f t="shared" si="25"/>
        <v>86.7</v>
      </c>
      <c r="L405">
        <f t="shared" si="26"/>
        <v>51.5</v>
      </c>
      <c r="M405">
        <f t="shared" si="27"/>
        <v>72.62</v>
      </c>
    </row>
    <row r="406" spans="1:13" x14ac:dyDescent="0.45">
      <c r="A406">
        <v>405</v>
      </c>
      <c r="B406" t="s">
        <v>17</v>
      </c>
      <c r="C406">
        <v>526</v>
      </c>
      <c r="D406">
        <v>88</v>
      </c>
      <c r="E406">
        <v>51</v>
      </c>
      <c r="F406">
        <v>29</v>
      </c>
      <c r="G406" t="s">
        <v>16</v>
      </c>
      <c r="H406" t="s">
        <v>14</v>
      </c>
      <c r="I406" t="s">
        <v>14</v>
      </c>
      <c r="J406">
        <f t="shared" si="24"/>
        <v>106.48000000000002</v>
      </c>
      <c r="K406">
        <f t="shared" si="25"/>
        <v>87.1</v>
      </c>
      <c r="L406">
        <f t="shared" si="26"/>
        <v>49</v>
      </c>
      <c r="M406">
        <f t="shared" si="27"/>
        <v>71.86</v>
      </c>
    </row>
    <row r="407" spans="1:13" x14ac:dyDescent="0.45">
      <c r="A407">
        <v>406</v>
      </c>
      <c r="B407" t="s">
        <v>17</v>
      </c>
      <c r="C407">
        <v>956</v>
      </c>
      <c r="D407">
        <v>88</v>
      </c>
      <c r="E407">
        <v>30</v>
      </c>
      <c r="F407">
        <v>26</v>
      </c>
      <c r="G407" t="s">
        <v>16</v>
      </c>
      <c r="H407" t="s">
        <v>14</v>
      </c>
      <c r="I407" t="s">
        <v>16</v>
      </c>
      <c r="J407">
        <f t="shared" si="24"/>
        <v>106.48000000000002</v>
      </c>
      <c r="K407">
        <f t="shared" si="25"/>
        <v>53.4</v>
      </c>
      <c r="L407">
        <f t="shared" si="26"/>
        <v>49</v>
      </c>
      <c r="M407">
        <f t="shared" si="27"/>
        <v>51.64</v>
      </c>
    </row>
    <row r="408" spans="1:13" x14ac:dyDescent="0.45">
      <c r="A408">
        <v>407</v>
      </c>
      <c r="B408" t="s">
        <v>17</v>
      </c>
      <c r="C408">
        <v>1727</v>
      </c>
      <c r="D408">
        <v>68</v>
      </c>
      <c r="E408">
        <v>32</v>
      </c>
      <c r="F408">
        <v>34</v>
      </c>
      <c r="G408" t="s">
        <v>14</v>
      </c>
      <c r="H408" t="s">
        <v>14</v>
      </c>
      <c r="I408" t="s">
        <v>14</v>
      </c>
      <c r="J408">
        <f t="shared" si="24"/>
        <v>82.280000000000015</v>
      </c>
      <c r="K408">
        <f t="shared" si="25"/>
        <v>72.599999999999994</v>
      </c>
      <c r="L408">
        <f t="shared" si="26"/>
        <v>49</v>
      </c>
      <c r="M408">
        <f t="shared" si="27"/>
        <v>63.16</v>
      </c>
    </row>
    <row r="409" spans="1:13" x14ac:dyDescent="0.45">
      <c r="A409">
        <v>408</v>
      </c>
      <c r="B409" t="s">
        <v>15</v>
      </c>
      <c r="C409">
        <v>1826</v>
      </c>
      <c r="D409">
        <v>87</v>
      </c>
      <c r="E409">
        <v>42</v>
      </c>
      <c r="F409">
        <v>23</v>
      </c>
      <c r="G409" t="s">
        <v>14</v>
      </c>
      <c r="H409" t="s">
        <v>14</v>
      </c>
      <c r="I409" t="s">
        <v>16</v>
      </c>
      <c r="J409">
        <f t="shared" si="24"/>
        <v>86.13000000000001</v>
      </c>
      <c r="K409">
        <f t="shared" si="25"/>
        <v>62.7</v>
      </c>
      <c r="L409">
        <f t="shared" si="26"/>
        <v>58.5</v>
      </c>
      <c r="M409">
        <f t="shared" si="27"/>
        <v>61.019999999999996</v>
      </c>
    </row>
    <row r="410" spans="1:13" x14ac:dyDescent="0.45">
      <c r="A410">
        <v>409</v>
      </c>
      <c r="B410" t="s">
        <v>15</v>
      </c>
      <c r="C410">
        <v>1208</v>
      </c>
      <c r="D410">
        <v>40</v>
      </c>
      <c r="E410">
        <v>30</v>
      </c>
      <c r="F410">
        <v>22</v>
      </c>
      <c r="G410" t="s">
        <v>16</v>
      </c>
      <c r="H410" t="s">
        <v>14</v>
      </c>
      <c r="I410" t="s">
        <v>14</v>
      </c>
      <c r="J410">
        <f t="shared" si="24"/>
        <v>39.6</v>
      </c>
      <c r="K410">
        <f t="shared" si="25"/>
        <v>59.8</v>
      </c>
      <c r="L410">
        <f t="shared" si="26"/>
        <v>25</v>
      </c>
      <c r="M410">
        <f t="shared" si="27"/>
        <v>45.879999999999995</v>
      </c>
    </row>
    <row r="411" spans="1:13" x14ac:dyDescent="0.45">
      <c r="A411">
        <v>410</v>
      </c>
      <c r="B411" t="s">
        <v>13</v>
      </c>
      <c r="C411">
        <v>1878</v>
      </c>
      <c r="D411">
        <v>59</v>
      </c>
      <c r="E411">
        <v>26</v>
      </c>
      <c r="F411">
        <v>21</v>
      </c>
      <c r="G411" t="s">
        <v>14</v>
      </c>
      <c r="H411" t="s">
        <v>14</v>
      </c>
      <c r="I411" t="s">
        <v>16</v>
      </c>
      <c r="J411">
        <f t="shared" si="24"/>
        <v>64.900000000000006</v>
      </c>
      <c r="K411">
        <f t="shared" si="25"/>
        <v>44.9</v>
      </c>
      <c r="L411">
        <f t="shared" si="26"/>
        <v>44.5</v>
      </c>
      <c r="M411">
        <f t="shared" si="27"/>
        <v>44.739999999999995</v>
      </c>
    </row>
    <row r="412" spans="1:13" x14ac:dyDescent="0.45">
      <c r="A412">
        <v>411</v>
      </c>
      <c r="B412" t="s">
        <v>15</v>
      </c>
      <c r="C412">
        <v>297</v>
      </c>
      <c r="D412">
        <v>45</v>
      </c>
      <c r="E412">
        <v>22</v>
      </c>
      <c r="F412">
        <v>25</v>
      </c>
      <c r="G412" t="s">
        <v>16</v>
      </c>
      <c r="H412" t="s">
        <v>14</v>
      </c>
      <c r="I412" t="s">
        <v>16</v>
      </c>
      <c r="J412">
        <f t="shared" si="24"/>
        <v>44.550000000000004</v>
      </c>
      <c r="K412">
        <f t="shared" si="25"/>
        <v>44.5</v>
      </c>
      <c r="L412">
        <f t="shared" si="26"/>
        <v>27.5</v>
      </c>
      <c r="M412">
        <f t="shared" si="27"/>
        <v>37.700000000000003</v>
      </c>
    </row>
    <row r="413" spans="1:13" x14ac:dyDescent="0.45">
      <c r="A413">
        <v>412</v>
      </c>
      <c r="B413" t="s">
        <v>13</v>
      </c>
      <c r="C413">
        <v>1207</v>
      </c>
      <c r="D413">
        <v>64</v>
      </c>
      <c r="E413">
        <v>28</v>
      </c>
      <c r="F413">
        <v>25</v>
      </c>
      <c r="G413" t="s">
        <v>14</v>
      </c>
      <c r="H413" t="s">
        <v>14</v>
      </c>
      <c r="I413" t="s">
        <v>14</v>
      </c>
      <c r="J413">
        <f t="shared" si="24"/>
        <v>70.400000000000006</v>
      </c>
      <c r="K413">
        <f t="shared" si="25"/>
        <v>60.5</v>
      </c>
      <c r="L413">
        <f t="shared" si="26"/>
        <v>47</v>
      </c>
      <c r="M413">
        <f t="shared" si="27"/>
        <v>55.099999999999994</v>
      </c>
    </row>
    <row r="414" spans="1:13" x14ac:dyDescent="0.45">
      <c r="A414">
        <v>413</v>
      </c>
      <c r="B414" t="s">
        <v>15</v>
      </c>
      <c r="C414">
        <v>1133</v>
      </c>
      <c r="D414">
        <v>74</v>
      </c>
      <c r="E414">
        <v>22</v>
      </c>
      <c r="F414">
        <v>30</v>
      </c>
      <c r="G414" t="s">
        <v>16</v>
      </c>
      <c r="H414" t="s">
        <v>16</v>
      </c>
      <c r="I414" t="s">
        <v>16</v>
      </c>
      <c r="J414">
        <f t="shared" si="24"/>
        <v>66.600000000000009</v>
      </c>
      <c r="K414">
        <f t="shared" si="25"/>
        <v>49</v>
      </c>
      <c r="L414">
        <f t="shared" si="26"/>
        <v>37</v>
      </c>
      <c r="M414">
        <f t="shared" si="27"/>
        <v>44.2</v>
      </c>
    </row>
    <row r="415" spans="1:13" x14ac:dyDescent="0.45">
      <c r="A415">
        <v>414</v>
      </c>
      <c r="B415" t="s">
        <v>13</v>
      </c>
      <c r="C415">
        <v>427</v>
      </c>
      <c r="D415">
        <v>70</v>
      </c>
      <c r="E415">
        <v>36</v>
      </c>
      <c r="F415">
        <v>26</v>
      </c>
      <c r="G415" t="s">
        <v>16</v>
      </c>
      <c r="H415" t="s">
        <v>16</v>
      </c>
      <c r="I415" t="s">
        <v>14</v>
      </c>
      <c r="J415">
        <f t="shared" si="24"/>
        <v>70</v>
      </c>
      <c r="K415">
        <f t="shared" si="25"/>
        <v>69.400000000000006</v>
      </c>
      <c r="L415">
        <f t="shared" si="26"/>
        <v>35</v>
      </c>
      <c r="M415">
        <f t="shared" si="27"/>
        <v>55.64</v>
      </c>
    </row>
    <row r="416" spans="1:13" x14ac:dyDescent="0.45">
      <c r="A416">
        <v>415</v>
      </c>
      <c r="B416" t="s">
        <v>15</v>
      </c>
      <c r="C416">
        <v>759</v>
      </c>
      <c r="D416">
        <v>60</v>
      </c>
      <c r="E416">
        <v>40</v>
      </c>
      <c r="F416">
        <v>33</v>
      </c>
      <c r="G416" t="s">
        <v>16</v>
      </c>
      <c r="H416" t="s">
        <v>14</v>
      </c>
      <c r="I416" t="s">
        <v>14</v>
      </c>
      <c r="J416">
        <f t="shared" si="24"/>
        <v>59.400000000000006</v>
      </c>
      <c r="K416">
        <f t="shared" si="25"/>
        <v>79.7</v>
      </c>
      <c r="L416">
        <f t="shared" si="26"/>
        <v>35</v>
      </c>
      <c r="M416">
        <f t="shared" si="27"/>
        <v>61.82</v>
      </c>
    </row>
    <row r="417" spans="1:13" x14ac:dyDescent="0.45">
      <c r="A417">
        <v>416</v>
      </c>
      <c r="B417" t="s">
        <v>15</v>
      </c>
      <c r="C417">
        <v>1706</v>
      </c>
      <c r="D417">
        <v>41</v>
      </c>
      <c r="E417">
        <v>51</v>
      </c>
      <c r="F417">
        <v>25</v>
      </c>
      <c r="G417" t="s">
        <v>14</v>
      </c>
      <c r="H417" t="s">
        <v>16</v>
      </c>
      <c r="I417" t="s">
        <v>16</v>
      </c>
      <c r="J417">
        <f t="shared" si="24"/>
        <v>36.9</v>
      </c>
      <c r="K417">
        <f t="shared" si="25"/>
        <v>73.5</v>
      </c>
      <c r="L417">
        <f t="shared" si="26"/>
        <v>30.5</v>
      </c>
      <c r="M417">
        <f t="shared" si="27"/>
        <v>56.300000000000004</v>
      </c>
    </row>
    <row r="418" spans="1:13" x14ac:dyDescent="0.45">
      <c r="A418">
        <v>417</v>
      </c>
      <c r="B418" t="s">
        <v>13</v>
      </c>
      <c r="C418">
        <v>1639</v>
      </c>
      <c r="D418">
        <v>45</v>
      </c>
      <c r="E418">
        <v>33</v>
      </c>
      <c r="F418">
        <v>32</v>
      </c>
      <c r="G418" t="s">
        <v>14</v>
      </c>
      <c r="H418" t="s">
        <v>16</v>
      </c>
      <c r="I418" t="s">
        <v>16</v>
      </c>
      <c r="J418">
        <f t="shared" si="24"/>
        <v>45</v>
      </c>
      <c r="K418">
        <f t="shared" si="25"/>
        <v>61.8</v>
      </c>
      <c r="L418">
        <f t="shared" si="26"/>
        <v>32.5</v>
      </c>
      <c r="M418">
        <f t="shared" si="27"/>
        <v>50.08</v>
      </c>
    </row>
    <row r="419" spans="1:13" x14ac:dyDescent="0.45">
      <c r="A419">
        <v>418</v>
      </c>
      <c r="B419" t="s">
        <v>17</v>
      </c>
      <c r="C419">
        <v>666</v>
      </c>
      <c r="D419">
        <v>54</v>
      </c>
      <c r="E419">
        <v>31</v>
      </c>
      <c r="F419">
        <v>25</v>
      </c>
      <c r="G419" t="s">
        <v>14</v>
      </c>
      <c r="H419" t="s">
        <v>14</v>
      </c>
      <c r="I419" t="s">
        <v>16</v>
      </c>
      <c r="J419">
        <f t="shared" si="24"/>
        <v>65.340000000000018</v>
      </c>
      <c r="K419">
        <f t="shared" si="25"/>
        <v>53.5</v>
      </c>
      <c r="L419">
        <f t="shared" si="26"/>
        <v>42</v>
      </c>
      <c r="M419">
        <f t="shared" si="27"/>
        <v>48.900000000000006</v>
      </c>
    </row>
    <row r="420" spans="1:13" x14ac:dyDescent="0.45">
      <c r="A420">
        <v>419</v>
      </c>
      <c r="B420" t="s">
        <v>15</v>
      </c>
      <c r="C420">
        <v>1665</v>
      </c>
      <c r="D420">
        <v>64</v>
      </c>
      <c r="E420">
        <v>23</v>
      </c>
      <c r="F420">
        <v>23</v>
      </c>
      <c r="G420" t="s">
        <v>14</v>
      </c>
      <c r="H420" t="s">
        <v>14</v>
      </c>
      <c r="I420" t="s">
        <v>14</v>
      </c>
      <c r="J420">
        <f t="shared" si="24"/>
        <v>63.360000000000007</v>
      </c>
      <c r="K420">
        <f t="shared" si="25"/>
        <v>53.7</v>
      </c>
      <c r="L420">
        <f t="shared" si="26"/>
        <v>47</v>
      </c>
      <c r="M420">
        <f t="shared" si="27"/>
        <v>51.019999999999996</v>
      </c>
    </row>
    <row r="421" spans="1:13" x14ac:dyDescent="0.45">
      <c r="A421">
        <v>420</v>
      </c>
      <c r="B421" t="s">
        <v>17</v>
      </c>
      <c r="C421">
        <v>1303</v>
      </c>
      <c r="D421">
        <v>61</v>
      </c>
      <c r="E421">
        <v>52</v>
      </c>
      <c r="F421">
        <v>15</v>
      </c>
      <c r="G421" t="s">
        <v>14</v>
      </c>
      <c r="H421" t="s">
        <v>14</v>
      </c>
      <c r="I421" t="s">
        <v>16</v>
      </c>
      <c r="J421">
        <f t="shared" si="24"/>
        <v>73.810000000000016</v>
      </c>
      <c r="K421">
        <f t="shared" si="25"/>
        <v>65.5</v>
      </c>
      <c r="L421">
        <f t="shared" si="26"/>
        <v>45.5</v>
      </c>
      <c r="M421">
        <f t="shared" si="27"/>
        <v>57.5</v>
      </c>
    </row>
    <row r="422" spans="1:13" x14ac:dyDescent="0.45">
      <c r="A422">
        <v>421</v>
      </c>
      <c r="B422" t="s">
        <v>17</v>
      </c>
      <c r="C422">
        <v>395</v>
      </c>
      <c r="D422">
        <v>71</v>
      </c>
      <c r="E422">
        <v>53</v>
      </c>
      <c r="F422">
        <v>21</v>
      </c>
      <c r="G422" t="s">
        <v>14</v>
      </c>
      <c r="H422" t="s">
        <v>16</v>
      </c>
      <c r="I422" t="s">
        <v>16</v>
      </c>
      <c r="J422">
        <f t="shared" si="24"/>
        <v>78.100000000000009</v>
      </c>
      <c r="K422">
        <f t="shared" si="25"/>
        <v>71.900000000000006</v>
      </c>
      <c r="L422">
        <f t="shared" si="26"/>
        <v>45.5</v>
      </c>
      <c r="M422">
        <f t="shared" si="27"/>
        <v>61.34</v>
      </c>
    </row>
    <row r="423" spans="1:13" x14ac:dyDescent="0.45">
      <c r="A423">
        <v>422</v>
      </c>
      <c r="B423" t="s">
        <v>17</v>
      </c>
      <c r="C423">
        <v>1306</v>
      </c>
      <c r="D423">
        <v>73</v>
      </c>
      <c r="E423">
        <v>52</v>
      </c>
      <c r="F423">
        <v>30</v>
      </c>
      <c r="G423" t="s">
        <v>16</v>
      </c>
      <c r="H423" t="s">
        <v>14</v>
      </c>
      <c r="I423" t="s">
        <v>14</v>
      </c>
      <c r="J423">
        <f t="shared" si="24"/>
        <v>88.330000000000027</v>
      </c>
      <c r="K423">
        <f t="shared" si="25"/>
        <v>89</v>
      </c>
      <c r="L423">
        <f t="shared" si="26"/>
        <v>41.5</v>
      </c>
      <c r="M423">
        <f t="shared" si="27"/>
        <v>70</v>
      </c>
    </row>
    <row r="424" spans="1:13" x14ac:dyDescent="0.45">
      <c r="A424">
        <v>423</v>
      </c>
      <c r="B424" t="s">
        <v>15</v>
      </c>
      <c r="C424">
        <v>950</v>
      </c>
      <c r="D424">
        <v>46</v>
      </c>
      <c r="E424">
        <v>32</v>
      </c>
      <c r="F424">
        <v>40</v>
      </c>
      <c r="G424" t="s">
        <v>16</v>
      </c>
      <c r="H424" t="s">
        <v>16</v>
      </c>
      <c r="I424" t="s">
        <v>14</v>
      </c>
      <c r="J424">
        <f t="shared" si="24"/>
        <v>41.4</v>
      </c>
      <c r="K424">
        <f t="shared" si="25"/>
        <v>78</v>
      </c>
      <c r="L424">
        <f t="shared" si="26"/>
        <v>23</v>
      </c>
      <c r="M424">
        <f t="shared" si="27"/>
        <v>56</v>
      </c>
    </row>
    <row r="425" spans="1:13" x14ac:dyDescent="0.45">
      <c r="A425">
        <v>424</v>
      </c>
      <c r="B425" t="s">
        <v>13</v>
      </c>
      <c r="C425">
        <v>1900</v>
      </c>
      <c r="D425">
        <v>75</v>
      </c>
      <c r="E425">
        <v>58</v>
      </c>
      <c r="F425">
        <v>34</v>
      </c>
      <c r="G425" t="s">
        <v>14</v>
      </c>
      <c r="H425" t="s">
        <v>16</v>
      </c>
      <c r="I425" t="s">
        <v>16</v>
      </c>
      <c r="J425">
        <f t="shared" si="24"/>
        <v>75</v>
      </c>
      <c r="K425">
        <f t="shared" si="25"/>
        <v>88.6</v>
      </c>
      <c r="L425">
        <f t="shared" si="26"/>
        <v>47.5</v>
      </c>
      <c r="M425">
        <f t="shared" si="27"/>
        <v>72.16</v>
      </c>
    </row>
    <row r="426" spans="1:13" x14ac:dyDescent="0.45">
      <c r="A426">
        <v>425</v>
      </c>
      <c r="B426" t="s">
        <v>17</v>
      </c>
      <c r="C426">
        <v>528</v>
      </c>
      <c r="D426">
        <v>48</v>
      </c>
      <c r="E426">
        <v>54</v>
      </c>
      <c r="F426">
        <v>33</v>
      </c>
      <c r="G426" t="s">
        <v>14</v>
      </c>
      <c r="H426" t="s">
        <v>16</v>
      </c>
      <c r="I426" t="s">
        <v>14</v>
      </c>
      <c r="J426">
        <f t="shared" si="24"/>
        <v>52.800000000000004</v>
      </c>
      <c r="K426">
        <f t="shared" si="25"/>
        <v>93.7</v>
      </c>
      <c r="L426">
        <f t="shared" si="26"/>
        <v>34</v>
      </c>
      <c r="M426">
        <f t="shared" si="27"/>
        <v>69.819999999999993</v>
      </c>
    </row>
    <row r="427" spans="1:13" x14ac:dyDescent="0.45">
      <c r="A427">
        <v>426</v>
      </c>
      <c r="B427" t="s">
        <v>13</v>
      </c>
      <c r="C427">
        <v>880</v>
      </c>
      <c r="D427">
        <v>63</v>
      </c>
      <c r="E427">
        <v>39</v>
      </c>
      <c r="F427">
        <v>38</v>
      </c>
      <c r="G427" t="s">
        <v>16</v>
      </c>
      <c r="H427" t="s">
        <v>16</v>
      </c>
      <c r="I427" t="s">
        <v>14</v>
      </c>
      <c r="J427">
        <f t="shared" si="24"/>
        <v>63</v>
      </c>
      <c r="K427">
        <f t="shared" si="25"/>
        <v>83.2</v>
      </c>
      <c r="L427">
        <f t="shared" si="26"/>
        <v>31.5</v>
      </c>
      <c r="M427">
        <f t="shared" si="27"/>
        <v>62.52</v>
      </c>
    </row>
    <row r="428" spans="1:13" x14ac:dyDescent="0.45">
      <c r="A428">
        <v>427</v>
      </c>
      <c r="B428" t="s">
        <v>15</v>
      </c>
      <c r="C428">
        <v>1510</v>
      </c>
      <c r="D428">
        <v>80</v>
      </c>
      <c r="E428">
        <v>24</v>
      </c>
      <c r="F428">
        <v>30</v>
      </c>
      <c r="G428" t="s">
        <v>16</v>
      </c>
      <c r="H428" t="s">
        <v>14</v>
      </c>
      <c r="I428" t="s">
        <v>16</v>
      </c>
      <c r="J428">
        <f t="shared" si="24"/>
        <v>79.2</v>
      </c>
      <c r="K428">
        <f t="shared" si="25"/>
        <v>51</v>
      </c>
      <c r="L428">
        <f t="shared" si="26"/>
        <v>45</v>
      </c>
      <c r="M428">
        <f t="shared" si="27"/>
        <v>48.599999999999994</v>
      </c>
    </row>
    <row r="429" spans="1:13" x14ac:dyDescent="0.45">
      <c r="A429">
        <v>428</v>
      </c>
      <c r="B429" t="s">
        <v>17</v>
      </c>
      <c r="C429">
        <v>752</v>
      </c>
      <c r="D429">
        <v>90</v>
      </c>
      <c r="E429">
        <v>31</v>
      </c>
      <c r="F429">
        <v>32</v>
      </c>
      <c r="G429" t="s">
        <v>14</v>
      </c>
      <c r="H429" t="s">
        <v>14</v>
      </c>
      <c r="I429" t="s">
        <v>16</v>
      </c>
      <c r="J429">
        <f t="shared" si="24"/>
        <v>108.90000000000002</v>
      </c>
      <c r="K429">
        <f t="shared" si="25"/>
        <v>59.8</v>
      </c>
      <c r="L429">
        <f t="shared" si="26"/>
        <v>60</v>
      </c>
      <c r="M429">
        <f t="shared" si="27"/>
        <v>59.879999999999995</v>
      </c>
    </row>
    <row r="430" spans="1:13" x14ac:dyDescent="0.45">
      <c r="A430">
        <v>429</v>
      </c>
      <c r="B430" t="s">
        <v>17</v>
      </c>
      <c r="C430">
        <v>1506</v>
      </c>
      <c r="D430">
        <v>95</v>
      </c>
      <c r="E430">
        <v>52</v>
      </c>
      <c r="F430">
        <v>26</v>
      </c>
      <c r="G430" t="s">
        <v>16</v>
      </c>
      <c r="H430" t="s">
        <v>16</v>
      </c>
      <c r="I430" t="s">
        <v>16</v>
      </c>
      <c r="J430">
        <f t="shared" si="24"/>
        <v>104.50000000000001</v>
      </c>
      <c r="K430">
        <f t="shared" si="25"/>
        <v>75.400000000000006</v>
      </c>
      <c r="L430">
        <f t="shared" si="26"/>
        <v>47.5</v>
      </c>
      <c r="M430">
        <f t="shared" si="27"/>
        <v>64.240000000000009</v>
      </c>
    </row>
    <row r="431" spans="1:13" x14ac:dyDescent="0.45">
      <c r="A431">
        <v>430</v>
      </c>
      <c r="B431" t="s">
        <v>13</v>
      </c>
      <c r="C431">
        <v>1407</v>
      </c>
      <c r="D431">
        <v>41</v>
      </c>
      <c r="E431">
        <v>37</v>
      </c>
      <c r="F431">
        <v>32</v>
      </c>
      <c r="G431" t="s">
        <v>16</v>
      </c>
      <c r="H431" t="s">
        <v>16</v>
      </c>
      <c r="I431" t="s">
        <v>16</v>
      </c>
      <c r="J431">
        <f t="shared" si="24"/>
        <v>41</v>
      </c>
      <c r="K431">
        <f t="shared" si="25"/>
        <v>65.8</v>
      </c>
      <c r="L431">
        <f t="shared" si="26"/>
        <v>20.5</v>
      </c>
      <c r="M431">
        <f t="shared" si="27"/>
        <v>47.68</v>
      </c>
    </row>
    <row r="432" spans="1:13" x14ac:dyDescent="0.45">
      <c r="A432">
        <v>431</v>
      </c>
      <c r="B432" t="s">
        <v>17</v>
      </c>
      <c r="C432">
        <v>1086</v>
      </c>
      <c r="D432">
        <v>55</v>
      </c>
      <c r="E432">
        <v>21</v>
      </c>
      <c r="F432">
        <v>40</v>
      </c>
      <c r="G432" t="s">
        <v>16</v>
      </c>
      <c r="H432" t="s">
        <v>16</v>
      </c>
      <c r="I432" t="s">
        <v>16</v>
      </c>
      <c r="J432">
        <f t="shared" si="24"/>
        <v>60.500000000000007</v>
      </c>
      <c r="K432">
        <f t="shared" si="25"/>
        <v>57</v>
      </c>
      <c r="L432">
        <f t="shared" si="26"/>
        <v>27.5</v>
      </c>
      <c r="M432">
        <f t="shared" si="27"/>
        <v>45.199999999999996</v>
      </c>
    </row>
    <row r="433" spans="1:13" x14ac:dyDescent="0.45">
      <c r="A433">
        <v>432</v>
      </c>
      <c r="B433" t="s">
        <v>15</v>
      </c>
      <c r="C433">
        <v>619</v>
      </c>
      <c r="D433">
        <v>86</v>
      </c>
      <c r="E433">
        <v>56</v>
      </c>
      <c r="F433">
        <v>32</v>
      </c>
      <c r="G433" t="s">
        <v>14</v>
      </c>
      <c r="H433" t="s">
        <v>16</v>
      </c>
      <c r="I433" t="s">
        <v>16</v>
      </c>
      <c r="J433">
        <f t="shared" si="24"/>
        <v>77.400000000000006</v>
      </c>
      <c r="K433">
        <f t="shared" si="25"/>
        <v>84.8</v>
      </c>
      <c r="L433">
        <f t="shared" si="26"/>
        <v>53</v>
      </c>
      <c r="M433">
        <f t="shared" si="27"/>
        <v>72.08</v>
      </c>
    </row>
    <row r="434" spans="1:13" x14ac:dyDescent="0.45">
      <c r="A434">
        <v>433</v>
      </c>
      <c r="B434" t="s">
        <v>15</v>
      </c>
      <c r="C434">
        <v>1559</v>
      </c>
      <c r="D434">
        <v>43</v>
      </c>
      <c r="E434">
        <v>45</v>
      </c>
      <c r="F434">
        <v>30</v>
      </c>
      <c r="G434" t="s">
        <v>14</v>
      </c>
      <c r="H434" t="s">
        <v>16</v>
      </c>
      <c r="I434" t="s">
        <v>14</v>
      </c>
      <c r="J434">
        <f t="shared" si="24"/>
        <v>38.700000000000003</v>
      </c>
      <c r="K434">
        <f t="shared" si="25"/>
        <v>82</v>
      </c>
      <c r="L434">
        <f t="shared" si="26"/>
        <v>31.5</v>
      </c>
      <c r="M434">
        <f t="shared" si="27"/>
        <v>61.8</v>
      </c>
    </row>
    <row r="435" spans="1:13" x14ac:dyDescent="0.45">
      <c r="A435">
        <v>434</v>
      </c>
      <c r="B435" t="s">
        <v>13</v>
      </c>
      <c r="C435">
        <v>1048</v>
      </c>
      <c r="D435">
        <v>67</v>
      </c>
      <c r="E435">
        <v>33</v>
      </c>
      <c r="F435">
        <v>23</v>
      </c>
      <c r="G435" t="s">
        <v>14</v>
      </c>
      <c r="H435" t="s">
        <v>16</v>
      </c>
      <c r="I435" t="s">
        <v>14</v>
      </c>
      <c r="J435">
        <f t="shared" si="24"/>
        <v>67</v>
      </c>
      <c r="K435">
        <f t="shared" si="25"/>
        <v>63.7</v>
      </c>
      <c r="L435">
        <f t="shared" si="26"/>
        <v>43.5</v>
      </c>
      <c r="M435">
        <f t="shared" si="27"/>
        <v>55.620000000000005</v>
      </c>
    </row>
    <row r="436" spans="1:13" x14ac:dyDescent="0.45">
      <c r="A436">
        <v>435</v>
      </c>
      <c r="B436" t="s">
        <v>15</v>
      </c>
      <c r="C436">
        <v>513</v>
      </c>
      <c r="D436">
        <v>55</v>
      </c>
      <c r="E436">
        <v>50</v>
      </c>
      <c r="F436">
        <v>29</v>
      </c>
      <c r="G436" t="s">
        <v>16</v>
      </c>
      <c r="H436" t="s">
        <v>14</v>
      </c>
      <c r="I436" t="s">
        <v>14</v>
      </c>
      <c r="J436">
        <f t="shared" si="24"/>
        <v>54.45</v>
      </c>
      <c r="K436">
        <f t="shared" si="25"/>
        <v>86.1</v>
      </c>
      <c r="L436">
        <f t="shared" si="26"/>
        <v>32.5</v>
      </c>
      <c r="M436">
        <f t="shared" si="27"/>
        <v>64.66</v>
      </c>
    </row>
    <row r="437" spans="1:13" x14ac:dyDescent="0.45">
      <c r="A437">
        <v>436</v>
      </c>
      <c r="B437" t="s">
        <v>17</v>
      </c>
      <c r="C437">
        <v>1604</v>
      </c>
      <c r="D437">
        <v>58</v>
      </c>
      <c r="E437">
        <v>39</v>
      </c>
      <c r="F437">
        <v>29</v>
      </c>
      <c r="G437" t="s">
        <v>14</v>
      </c>
      <c r="H437" t="s">
        <v>16</v>
      </c>
      <c r="I437" t="s">
        <v>16</v>
      </c>
      <c r="J437">
        <f t="shared" si="24"/>
        <v>63.800000000000004</v>
      </c>
      <c r="K437">
        <f t="shared" si="25"/>
        <v>65.099999999999994</v>
      </c>
      <c r="L437">
        <f t="shared" si="26"/>
        <v>39</v>
      </c>
      <c r="M437">
        <f t="shared" si="27"/>
        <v>54.66</v>
      </c>
    </row>
    <row r="438" spans="1:13" x14ac:dyDescent="0.45">
      <c r="A438">
        <v>437</v>
      </c>
      <c r="B438" t="s">
        <v>13</v>
      </c>
      <c r="C438">
        <v>213</v>
      </c>
      <c r="D438">
        <v>84</v>
      </c>
      <c r="E438">
        <v>47</v>
      </c>
      <c r="F438">
        <v>32</v>
      </c>
      <c r="G438" t="s">
        <v>14</v>
      </c>
      <c r="H438" t="s">
        <v>16</v>
      </c>
      <c r="I438" t="s">
        <v>16</v>
      </c>
      <c r="J438">
        <f t="shared" si="24"/>
        <v>84</v>
      </c>
      <c r="K438">
        <f t="shared" si="25"/>
        <v>75.8</v>
      </c>
      <c r="L438">
        <f t="shared" si="26"/>
        <v>52</v>
      </c>
      <c r="M438">
        <f t="shared" si="27"/>
        <v>66.28</v>
      </c>
    </row>
    <row r="439" spans="1:13" x14ac:dyDescent="0.45">
      <c r="A439">
        <v>438</v>
      </c>
      <c r="B439" t="s">
        <v>15</v>
      </c>
      <c r="C439">
        <v>1569</v>
      </c>
      <c r="D439">
        <v>59</v>
      </c>
      <c r="E439">
        <v>56</v>
      </c>
      <c r="F439">
        <v>24</v>
      </c>
      <c r="G439" t="s">
        <v>16</v>
      </c>
      <c r="H439" t="s">
        <v>16</v>
      </c>
      <c r="I439" t="s">
        <v>16</v>
      </c>
      <c r="J439">
        <f t="shared" si="24"/>
        <v>53.1</v>
      </c>
      <c r="K439">
        <f t="shared" si="25"/>
        <v>77.599999999999994</v>
      </c>
      <c r="L439">
        <f t="shared" si="26"/>
        <v>29.5</v>
      </c>
      <c r="M439">
        <f t="shared" si="27"/>
        <v>58.36</v>
      </c>
    </row>
    <row r="440" spans="1:13" x14ac:dyDescent="0.45">
      <c r="A440">
        <v>439</v>
      </c>
      <c r="B440" t="s">
        <v>15</v>
      </c>
      <c r="C440">
        <v>1066</v>
      </c>
      <c r="D440">
        <v>63</v>
      </c>
      <c r="E440">
        <v>37</v>
      </c>
      <c r="F440">
        <v>40</v>
      </c>
      <c r="G440" t="s">
        <v>14</v>
      </c>
      <c r="H440" t="s">
        <v>16</v>
      </c>
      <c r="I440" t="s">
        <v>14</v>
      </c>
      <c r="J440">
        <f t="shared" si="24"/>
        <v>56.7</v>
      </c>
      <c r="K440">
        <f t="shared" si="25"/>
        <v>83</v>
      </c>
      <c r="L440">
        <f t="shared" si="26"/>
        <v>41.5</v>
      </c>
      <c r="M440">
        <f t="shared" si="27"/>
        <v>66.400000000000006</v>
      </c>
    </row>
    <row r="441" spans="1:13" x14ac:dyDescent="0.45">
      <c r="A441">
        <v>440</v>
      </c>
      <c r="B441" t="s">
        <v>17</v>
      </c>
      <c r="C441">
        <v>1113</v>
      </c>
      <c r="D441">
        <v>91</v>
      </c>
      <c r="E441">
        <v>28</v>
      </c>
      <c r="F441">
        <v>34</v>
      </c>
      <c r="G441" t="s">
        <v>16</v>
      </c>
      <c r="H441" t="s">
        <v>16</v>
      </c>
      <c r="I441" t="s">
        <v>14</v>
      </c>
      <c r="J441">
        <f t="shared" si="24"/>
        <v>100.10000000000001</v>
      </c>
      <c r="K441">
        <f t="shared" si="25"/>
        <v>68.599999999999994</v>
      </c>
      <c r="L441">
        <f t="shared" si="26"/>
        <v>45.5</v>
      </c>
      <c r="M441">
        <f t="shared" si="27"/>
        <v>59.36</v>
      </c>
    </row>
    <row r="442" spans="1:13" x14ac:dyDescent="0.45">
      <c r="A442">
        <v>441</v>
      </c>
      <c r="B442" t="s">
        <v>15</v>
      </c>
      <c r="C442">
        <v>708</v>
      </c>
      <c r="D442">
        <v>92</v>
      </c>
      <c r="E442">
        <v>22</v>
      </c>
      <c r="F442">
        <v>37</v>
      </c>
      <c r="G442" t="s">
        <v>14</v>
      </c>
      <c r="H442" t="s">
        <v>14</v>
      </c>
      <c r="I442" t="s">
        <v>16</v>
      </c>
      <c r="J442">
        <f t="shared" si="24"/>
        <v>91.08</v>
      </c>
      <c r="K442">
        <f t="shared" si="25"/>
        <v>55.3</v>
      </c>
      <c r="L442">
        <f t="shared" si="26"/>
        <v>61</v>
      </c>
      <c r="M442">
        <f t="shared" si="27"/>
        <v>57.58</v>
      </c>
    </row>
    <row r="443" spans="1:13" x14ac:dyDescent="0.45">
      <c r="A443">
        <v>442</v>
      </c>
      <c r="B443" t="s">
        <v>13</v>
      </c>
      <c r="C443">
        <v>1098</v>
      </c>
      <c r="D443">
        <v>92</v>
      </c>
      <c r="E443">
        <v>35</v>
      </c>
      <c r="F443">
        <v>38</v>
      </c>
      <c r="G443" t="s">
        <v>14</v>
      </c>
      <c r="H443" t="s">
        <v>14</v>
      </c>
      <c r="I443" t="s">
        <v>16</v>
      </c>
      <c r="J443">
        <f t="shared" si="24"/>
        <v>101.2</v>
      </c>
      <c r="K443">
        <f t="shared" si="25"/>
        <v>69.2</v>
      </c>
      <c r="L443">
        <f t="shared" si="26"/>
        <v>61</v>
      </c>
      <c r="M443">
        <f t="shared" si="27"/>
        <v>65.92</v>
      </c>
    </row>
    <row r="444" spans="1:13" x14ac:dyDescent="0.45">
      <c r="A444">
        <v>443</v>
      </c>
      <c r="B444" t="s">
        <v>15</v>
      </c>
      <c r="C444">
        <v>1144</v>
      </c>
      <c r="D444">
        <v>45</v>
      </c>
      <c r="E444">
        <v>53</v>
      </c>
      <c r="F444">
        <v>16</v>
      </c>
      <c r="G444" t="s">
        <v>14</v>
      </c>
      <c r="H444" t="s">
        <v>16</v>
      </c>
      <c r="I444" t="s">
        <v>16</v>
      </c>
      <c r="J444">
        <f t="shared" si="24"/>
        <v>40.5</v>
      </c>
      <c r="K444">
        <f t="shared" si="25"/>
        <v>67.400000000000006</v>
      </c>
      <c r="L444">
        <f t="shared" si="26"/>
        <v>32.5</v>
      </c>
      <c r="M444">
        <f t="shared" si="27"/>
        <v>53.440000000000005</v>
      </c>
    </row>
    <row r="445" spans="1:13" x14ac:dyDescent="0.45">
      <c r="A445">
        <v>444</v>
      </c>
      <c r="B445" t="s">
        <v>15</v>
      </c>
      <c r="C445">
        <v>1605</v>
      </c>
      <c r="D445">
        <v>47</v>
      </c>
      <c r="E445">
        <v>53</v>
      </c>
      <c r="F445">
        <v>25</v>
      </c>
      <c r="G445" t="s">
        <v>16</v>
      </c>
      <c r="H445" t="s">
        <v>14</v>
      </c>
      <c r="I445" t="s">
        <v>16</v>
      </c>
      <c r="J445">
        <f t="shared" si="24"/>
        <v>46.530000000000008</v>
      </c>
      <c r="K445">
        <f t="shared" si="25"/>
        <v>75.5</v>
      </c>
      <c r="L445">
        <f t="shared" si="26"/>
        <v>28.5</v>
      </c>
      <c r="M445">
        <f t="shared" si="27"/>
        <v>56.699999999999996</v>
      </c>
    </row>
    <row r="446" spans="1:13" x14ac:dyDescent="0.45">
      <c r="A446">
        <v>445</v>
      </c>
      <c r="B446" t="s">
        <v>13</v>
      </c>
      <c r="C446">
        <v>1817</v>
      </c>
      <c r="D446">
        <v>75</v>
      </c>
      <c r="E446">
        <v>53</v>
      </c>
      <c r="F446">
        <v>15</v>
      </c>
      <c r="G446" t="s">
        <v>16</v>
      </c>
      <c r="H446" t="s">
        <v>16</v>
      </c>
      <c r="I446" t="s">
        <v>14</v>
      </c>
      <c r="J446">
        <f t="shared" si="24"/>
        <v>75</v>
      </c>
      <c r="K446">
        <f t="shared" si="25"/>
        <v>76.5</v>
      </c>
      <c r="L446">
        <f t="shared" si="26"/>
        <v>37.5</v>
      </c>
      <c r="M446">
        <f t="shared" si="27"/>
        <v>60.9</v>
      </c>
    </row>
    <row r="447" spans="1:13" x14ac:dyDescent="0.45">
      <c r="A447">
        <v>446</v>
      </c>
      <c r="B447" t="s">
        <v>13</v>
      </c>
      <c r="C447">
        <v>1190</v>
      </c>
      <c r="D447">
        <v>70</v>
      </c>
      <c r="E447">
        <v>47</v>
      </c>
      <c r="F447">
        <v>28</v>
      </c>
      <c r="G447" t="s">
        <v>16</v>
      </c>
      <c r="H447" t="s">
        <v>14</v>
      </c>
      <c r="I447" t="s">
        <v>16</v>
      </c>
      <c r="J447">
        <f t="shared" si="24"/>
        <v>77</v>
      </c>
      <c r="K447">
        <f t="shared" si="25"/>
        <v>72.2</v>
      </c>
      <c r="L447">
        <f t="shared" si="26"/>
        <v>40</v>
      </c>
      <c r="M447">
        <f t="shared" si="27"/>
        <v>59.32</v>
      </c>
    </row>
    <row r="448" spans="1:13" x14ac:dyDescent="0.45">
      <c r="A448">
        <v>447</v>
      </c>
      <c r="B448" t="s">
        <v>17</v>
      </c>
      <c r="C448">
        <v>259</v>
      </c>
      <c r="D448">
        <v>85</v>
      </c>
      <c r="E448">
        <v>44</v>
      </c>
      <c r="F448">
        <v>17</v>
      </c>
      <c r="G448" t="s">
        <v>16</v>
      </c>
      <c r="H448" t="s">
        <v>14</v>
      </c>
      <c r="I448" t="s">
        <v>16</v>
      </c>
      <c r="J448">
        <f t="shared" si="24"/>
        <v>102.85000000000002</v>
      </c>
      <c r="K448">
        <f t="shared" si="25"/>
        <v>59.3</v>
      </c>
      <c r="L448">
        <f t="shared" si="26"/>
        <v>47.5</v>
      </c>
      <c r="M448">
        <f t="shared" si="27"/>
        <v>54.58</v>
      </c>
    </row>
    <row r="449" spans="1:13" x14ac:dyDescent="0.45">
      <c r="A449">
        <v>448</v>
      </c>
      <c r="B449" t="s">
        <v>15</v>
      </c>
      <c r="C449">
        <v>1036</v>
      </c>
      <c r="D449">
        <v>75</v>
      </c>
      <c r="E449">
        <v>27</v>
      </c>
      <c r="F449">
        <v>40</v>
      </c>
      <c r="G449" t="s">
        <v>14</v>
      </c>
      <c r="H449" t="s">
        <v>14</v>
      </c>
      <c r="I449" t="s">
        <v>16</v>
      </c>
      <c r="J449">
        <f t="shared" si="24"/>
        <v>74.25</v>
      </c>
      <c r="K449">
        <f t="shared" si="25"/>
        <v>63</v>
      </c>
      <c r="L449">
        <f t="shared" si="26"/>
        <v>52.5</v>
      </c>
      <c r="M449">
        <f t="shared" si="27"/>
        <v>58.8</v>
      </c>
    </row>
    <row r="450" spans="1:13" x14ac:dyDescent="0.45">
      <c r="A450">
        <v>449</v>
      </c>
      <c r="B450" t="s">
        <v>17</v>
      </c>
      <c r="C450">
        <v>1503</v>
      </c>
      <c r="D450">
        <v>66</v>
      </c>
      <c r="E450">
        <v>52</v>
      </c>
      <c r="F450">
        <v>33</v>
      </c>
      <c r="G450" t="s">
        <v>14</v>
      </c>
      <c r="H450" t="s">
        <v>14</v>
      </c>
      <c r="I450" t="s">
        <v>14</v>
      </c>
      <c r="J450">
        <f t="shared" ref="J450:J513" si="28">D450*(IF(B450="Residential",0.9,IF(B450="Commercial",1,IF(B450="Infrastructure",1.1,1))))*(IF(H450="Yes",1.1,1))</f>
        <v>79.860000000000014</v>
      </c>
      <c r="K450">
        <f t="shared" ref="K450:K513" si="29">MIN((((E450*100)+(F450*90))/100)+IF(I450="Yes",10,0),100)</f>
        <v>91.7</v>
      </c>
      <c r="L450">
        <f t="shared" ref="L450:L513" si="30">MIN((D450*0.5)+IF(G450="Yes",10,0)+IF(H450="Yes",5,0),100)</f>
        <v>48</v>
      </c>
      <c r="M450">
        <f t="shared" ref="M450:M513" si="31">MIN((K450*0.6)+(L450*0.4),100)</f>
        <v>74.22</v>
      </c>
    </row>
    <row r="451" spans="1:13" x14ac:dyDescent="0.45">
      <c r="A451">
        <v>450</v>
      </c>
      <c r="B451" t="s">
        <v>17</v>
      </c>
      <c r="C451">
        <v>580</v>
      </c>
      <c r="D451">
        <v>52</v>
      </c>
      <c r="E451">
        <v>56</v>
      </c>
      <c r="F451">
        <v>16</v>
      </c>
      <c r="G451" t="s">
        <v>14</v>
      </c>
      <c r="H451" t="s">
        <v>14</v>
      </c>
      <c r="I451" t="s">
        <v>14</v>
      </c>
      <c r="J451">
        <f t="shared" si="28"/>
        <v>62.920000000000009</v>
      </c>
      <c r="K451">
        <f t="shared" si="29"/>
        <v>80.400000000000006</v>
      </c>
      <c r="L451">
        <f t="shared" si="30"/>
        <v>41</v>
      </c>
      <c r="M451">
        <f t="shared" si="31"/>
        <v>64.64</v>
      </c>
    </row>
    <row r="452" spans="1:13" x14ac:dyDescent="0.45">
      <c r="A452">
        <v>451</v>
      </c>
      <c r="B452" t="s">
        <v>17</v>
      </c>
      <c r="C452">
        <v>526</v>
      </c>
      <c r="D452">
        <v>86</v>
      </c>
      <c r="E452">
        <v>42</v>
      </c>
      <c r="F452">
        <v>27</v>
      </c>
      <c r="G452" t="s">
        <v>16</v>
      </c>
      <c r="H452" t="s">
        <v>16</v>
      </c>
      <c r="I452" t="s">
        <v>14</v>
      </c>
      <c r="J452">
        <f t="shared" si="28"/>
        <v>94.600000000000009</v>
      </c>
      <c r="K452">
        <f t="shared" si="29"/>
        <v>76.3</v>
      </c>
      <c r="L452">
        <f t="shared" si="30"/>
        <v>43</v>
      </c>
      <c r="M452">
        <f t="shared" si="31"/>
        <v>62.97999999999999</v>
      </c>
    </row>
    <row r="453" spans="1:13" x14ac:dyDescent="0.45">
      <c r="A453">
        <v>452</v>
      </c>
      <c r="B453" t="s">
        <v>15</v>
      </c>
      <c r="C453">
        <v>1121</v>
      </c>
      <c r="D453">
        <v>84</v>
      </c>
      <c r="E453">
        <v>24</v>
      </c>
      <c r="F453">
        <v>28</v>
      </c>
      <c r="G453" t="s">
        <v>14</v>
      </c>
      <c r="H453" t="s">
        <v>14</v>
      </c>
      <c r="I453" t="s">
        <v>14</v>
      </c>
      <c r="J453">
        <f t="shared" si="28"/>
        <v>83.160000000000011</v>
      </c>
      <c r="K453">
        <f t="shared" si="29"/>
        <v>59.2</v>
      </c>
      <c r="L453">
        <f t="shared" si="30"/>
        <v>57</v>
      </c>
      <c r="M453">
        <f t="shared" si="31"/>
        <v>58.320000000000007</v>
      </c>
    </row>
    <row r="454" spans="1:13" x14ac:dyDescent="0.45">
      <c r="A454">
        <v>453</v>
      </c>
      <c r="B454" t="s">
        <v>15</v>
      </c>
      <c r="C454">
        <v>1147</v>
      </c>
      <c r="D454">
        <v>90</v>
      </c>
      <c r="E454">
        <v>46</v>
      </c>
      <c r="F454">
        <v>29</v>
      </c>
      <c r="G454" t="s">
        <v>16</v>
      </c>
      <c r="H454" t="s">
        <v>16</v>
      </c>
      <c r="I454" t="s">
        <v>16</v>
      </c>
      <c r="J454">
        <f t="shared" si="28"/>
        <v>81</v>
      </c>
      <c r="K454">
        <f t="shared" si="29"/>
        <v>72.099999999999994</v>
      </c>
      <c r="L454">
        <f t="shared" si="30"/>
        <v>45</v>
      </c>
      <c r="M454">
        <f t="shared" si="31"/>
        <v>61.26</v>
      </c>
    </row>
    <row r="455" spans="1:13" x14ac:dyDescent="0.45">
      <c r="A455">
        <v>454</v>
      </c>
      <c r="B455" t="s">
        <v>13</v>
      </c>
      <c r="C455">
        <v>255</v>
      </c>
      <c r="D455">
        <v>54</v>
      </c>
      <c r="E455">
        <v>24</v>
      </c>
      <c r="F455">
        <v>21</v>
      </c>
      <c r="G455" t="s">
        <v>14</v>
      </c>
      <c r="H455" t="s">
        <v>16</v>
      </c>
      <c r="I455" t="s">
        <v>14</v>
      </c>
      <c r="J455">
        <f t="shared" si="28"/>
        <v>54</v>
      </c>
      <c r="K455">
        <f t="shared" si="29"/>
        <v>52.9</v>
      </c>
      <c r="L455">
        <f t="shared" si="30"/>
        <v>37</v>
      </c>
      <c r="M455">
        <f t="shared" si="31"/>
        <v>46.54</v>
      </c>
    </row>
    <row r="456" spans="1:13" x14ac:dyDescent="0.45">
      <c r="A456">
        <v>455</v>
      </c>
      <c r="B456" t="s">
        <v>17</v>
      </c>
      <c r="C456">
        <v>450</v>
      </c>
      <c r="D456">
        <v>68</v>
      </c>
      <c r="E456">
        <v>36</v>
      </c>
      <c r="F456">
        <v>15</v>
      </c>
      <c r="G456" t="s">
        <v>14</v>
      </c>
      <c r="H456" t="s">
        <v>14</v>
      </c>
      <c r="I456" t="s">
        <v>16</v>
      </c>
      <c r="J456">
        <f t="shared" si="28"/>
        <v>82.280000000000015</v>
      </c>
      <c r="K456">
        <f t="shared" si="29"/>
        <v>49.5</v>
      </c>
      <c r="L456">
        <f t="shared" si="30"/>
        <v>49</v>
      </c>
      <c r="M456">
        <f t="shared" si="31"/>
        <v>49.3</v>
      </c>
    </row>
    <row r="457" spans="1:13" x14ac:dyDescent="0.45">
      <c r="A457">
        <v>456</v>
      </c>
      <c r="B457" t="s">
        <v>15</v>
      </c>
      <c r="C457">
        <v>1819</v>
      </c>
      <c r="D457">
        <v>85</v>
      </c>
      <c r="E457">
        <v>50</v>
      </c>
      <c r="F457">
        <v>23</v>
      </c>
      <c r="G457" t="s">
        <v>16</v>
      </c>
      <c r="H457" t="s">
        <v>16</v>
      </c>
      <c r="I457" t="s">
        <v>14</v>
      </c>
      <c r="J457">
        <f t="shared" si="28"/>
        <v>76.5</v>
      </c>
      <c r="K457">
        <f t="shared" si="29"/>
        <v>80.7</v>
      </c>
      <c r="L457">
        <f t="shared" si="30"/>
        <v>42.5</v>
      </c>
      <c r="M457">
        <f t="shared" si="31"/>
        <v>65.42</v>
      </c>
    </row>
    <row r="458" spans="1:13" x14ac:dyDescent="0.45">
      <c r="A458">
        <v>457</v>
      </c>
      <c r="B458" t="s">
        <v>17</v>
      </c>
      <c r="C458">
        <v>1431</v>
      </c>
      <c r="D458">
        <v>82</v>
      </c>
      <c r="E458">
        <v>36</v>
      </c>
      <c r="F458">
        <v>16</v>
      </c>
      <c r="G458" t="s">
        <v>16</v>
      </c>
      <c r="H458" t="s">
        <v>14</v>
      </c>
      <c r="I458" t="s">
        <v>16</v>
      </c>
      <c r="J458">
        <f t="shared" si="28"/>
        <v>99.220000000000013</v>
      </c>
      <c r="K458">
        <f t="shared" si="29"/>
        <v>50.4</v>
      </c>
      <c r="L458">
        <f t="shared" si="30"/>
        <v>46</v>
      </c>
      <c r="M458">
        <f t="shared" si="31"/>
        <v>48.64</v>
      </c>
    </row>
    <row r="459" spans="1:13" x14ac:dyDescent="0.45">
      <c r="A459">
        <v>458</v>
      </c>
      <c r="B459" t="s">
        <v>13</v>
      </c>
      <c r="C459">
        <v>1505</v>
      </c>
      <c r="D459">
        <v>79</v>
      </c>
      <c r="E459">
        <v>30</v>
      </c>
      <c r="F459">
        <v>16</v>
      </c>
      <c r="G459" t="s">
        <v>16</v>
      </c>
      <c r="H459" t="s">
        <v>16</v>
      </c>
      <c r="I459" t="s">
        <v>16</v>
      </c>
      <c r="J459">
        <f t="shared" si="28"/>
        <v>79</v>
      </c>
      <c r="K459">
        <f t="shared" si="29"/>
        <v>44.4</v>
      </c>
      <c r="L459">
        <f t="shared" si="30"/>
        <v>39.5</v>
      </c>
      <c r="M459">
        <f t="shared" si="31"/>
        <v>42.44</v>
      </c>
    </row>
    <row r="460" spans="1:13" x14ac:dyDescent="0.45">
      <c r="A460">
        <v>459</v>
      </c>
      <c r="B460" t="s">
        <v>17</v>
      </c>
      <c r="C460">
        <v>1426</v>
      </c>
      <c r="D460">
        <v>87</v>
      </c>
      <c r="E460">
        <v>25</v>
      </c>
      <c r="F460">
        <v>24</v>
      </c>
      <c r="G460" t="s">
        <v>14</v>
      </c>
      <c r="H460" t="s">
        <v>14</v>
      </c>
      <c r="I460" t="s">
        <v>14</v>
      </c>
      <c r="J460">
        <f t="shared" si="28"/>
        <v>105.27000000000001</v>
      </c>
      <c r="K460">
        <f t="shared" si="29"/>
        <v>56.6</v>
      </c>
      <c r="L460">
        <f t="shared" si="30"/>
        <v>58.5</v>
      </c>
      <c r="M460">
        <f t="shared" si="31"/>
        <v>57.36</v>
      </c>
    </row>
    <row r="461" spans="1:13" x14ac:dyDescent="0.45">
      <c r="A461">
        <v>460</v>
      </c>
      <c r="B461" t="s">
        <v>17</v>
      </c>
      <c r="C461">
        <v>1116</v>
      </c>
      <c r="D461">
        <v>65</v>
      </c>
      <c r="E461">
        <v>41</v>
      </c>
      <c r="F461">
        <v>29</v>
      </c>
      <c r="G461" t="s">
        <v>16</v>
      </c>
      <c r="H461" t="s">
        <v>14</v>
      </c>
      <c r="I461" t="s">
        <v>14</v>
      </c>
      <c r="J461">
        <f t="shared" si="28"/>
        <v>78.650000000000006</v>
      </c>
      <c r="K461">
        <f t="shared" si="29"/>
        <v>77.099999999999994</v>
      </c>
      <c r="L461">
        <f t="shared" si="30"/>
        <v>37.5</v>
      </c>
      <c r="M461">
        <f t="shared" si="31"/>
        <v>61.26</v>
      </c>
    </row>
    <row r="462" spans="1:13" x14ac:dyDescent="0.45">
      <c r="A462">
        <v>461</v>
      </c>
      <c r="B462" t="s">
        <v>15</v>
      </c>
      <c r="C462">
        <v>1382</v>
      </c>
      <c r="D462">
        <v>75</v>
      </c>
      <c r="E462">
        <v>58</v>
      </c>
      <c r="F462">
        <v>39</v>
      </c>
      <c r="G462" t="s">
        <v>14</v>
      </c>
      <c r="H462" t="s">
        <v>14</v>
      </c>
      <c r="I462" t="s">
        <v>14</v>
      </c>
      <c r="J462">
        <f t="shared" si="28"/>
        <v>74.25</v>
      </c>
      <c r="K462">
        <f t="shared" si="29"/>
        <v>100</v>
      </c>
      <c r="L462">
        <f t="shared" si="30"/>
        <v>52.5</v>
      </c>
      <c r="M462">
        <f t="shared" si="31"/>
        <v>81</v>
      </c>
    </row>
    <row r="463" spans="1:13" x14ac:dyDescent="0.45">
      <c r="A463">
        <v>462</v>
      </c>
      <c r="B463" t="s">
        <v>15</v>
      </c>
      <c r="C463">
        <v>969</v>
      </c>
      <c r="D463">
        <v>50</v>
      </c>
      <c r="E463">
        <v>32</v>
      </c>
      <c r="F463">
        <v>21</v>
      </c>
      <c r="G463" t="s">
        <v>14</v>
      </c>
      <c r="H463" t="s">
        <v>14</v>
      </c>
      <c r="I463" t="s">
        <v>16</v>
      </c>
      <c r="J463">
        <f t="shared" si="28"/>
        <v>49.500000000000007</v>
      </c>
      <c r="K463">
        <f t="shared" si="29"/>
        <v>50.9</v>
      </c>
      <c r="L463">
        <f t="shared" si="30"/>
        <v>40</v>
      </c>
      <c r="M463">
        <f t="shared" si="31"/>
        <v>46.54</v>
      </c>
    </row>
    <row r="464" spans="1:13" x14ac:dyDescent="0.45">
      <c r="A464">
        <v>463</v>
      </c>
      <c r="B464" t="s">
        <v>13</v>
      </c>
      <c r="C464">
        <v>1426</v>
      </c>
      <c r="D464">
        <v>59</v>
      </c>
      <c r="E464">
        <v>59</v>
      </c>
      <c r="F464">
        <v>37</v>
      </c>
      <c r="G464" t="s">
        <v>14</v>
      </c>
      <c r="H464" t="s">
        <v>14</v>
      </c>
      <c r="I464" t="s">
        <v>16</v>
      </c>
      <c r="J464">
        <f t="shared" si="28"/>
        <v>64.900000000000006</v>
      </c>
      <c r="K464">
        <f t="shared" si="29"/>
        <v>92.3</v>
      </c>
      <c r="L464">
        <f t="shared" si="30"/>
        <v>44.5</v>
      </c>
      <c r="M464">
        <f t="shared" si="31"/>
        <v>73.179999999999993</v>
      </c>
    </row>
    <row r="465" spans="1:13" x14ac:dyDescent="0.45">
      <c r="A465">
        <v>464</v>
      </c>
      <c r="B465" t="s">
        <v>17</v>
      </c>
      <c r="C465">
        <v>1714</v>
      </c>
      <c r="D465">
        <v>82</v>
      </c>
      <c r="E465">
        <v>37</v>
      </c>
      <c r="F465">
        <v>17</v>
      </c>
      <c r="G465" t="s">
        <v>16</v>
      </c>
      <c r="H465" t="s">
        <v>14</v>
      </c>
      <c r="I465" t="s">
        <v>14</v>
      </c>
      <c r="J465">
        <f t="shared" si="28"/>
        <v>99.220000000000013</v>
      </c>
      <c r="K465">
        <f t="shared" si="29"/>
        <v>62.3</v>
      </c>
      <c r="L465">
        <f t="shared" si="30"/>
        <v>46</v>
      </c>
      <c r="M465">
        <f t="shared" si="31"/>
        <v>55.78</v>
      </c>
    </row>
    <row r="466" spans="1:13" x14ac:dyDescent="0.45">
      <c r="A466">
        <v>465</v>
      </c>
      <c r="B466" t="s">
        <v>17</v>
      </c>
      <c r="C466">
        <v>154</v>
      </c>
      <c r="D466">
        <v>48</v>
      </c>
      <c r="E466">
        <v>24</v>
      </c>
      <c r="F466">
        <v>26</v>
      </c>
      <c r="G466" t="s">
        <v>14</v>
      </c>
      <c r="H466" t="s">
        <v>14</v>
      </c>
      <c r="I466" t="s">
        <v>16</v>
      </c>
      <c r="J466">
        <f t="shared" si="28"/>
        <v>58.080000000000013</v>
      </c>
      <c r="K466">
        <f t="shared" si="29"/>
        <v>47.4</v>
      </c>
      <c r="L466">
        <f t="shared" si="30"/>
        <v>39</v>
      </c>
      <c r="M466">
        <f t="shared" si="31"/>
        <v>44.04</v>
      </c>
    </row>
    <row r="467" spans="1:13" x14ac:dyDescent="0.45">
      <c r="A467">
        <v>466</v>
      </c>
      <c r="B467" t="s">
        <v>13</v>
      </c>
      <c r="C467">
        <v>533</v>
      </c>
      <c r="D467">
        <v>93</v>
      </c>
      <c r="E467">
        <v>38</v>
      </c>
      <c r="F467">
        <v>17</v>
      </c>
      <c r="G467" t="s">
        <v>16</v>
      </c>
      <c r="H467" t="s">
        <v>16</v>
      </c>
      <c r="I467" t="s">
        <v>16</v>
      </c>
      <c r="J467">
        <f t="shared" si="28"/>
        <v>93</v>
      </c>
      <c r="K467">
        <f t="shared" si="29"/>
        <v>53.3</v>
      </c>
      <c r="L467">
        <f t="shared" si="30"/>
        <v>46.5</v>
      </c>
      <c r="M467">
        <f t="shared" si="31"/>
        <v>50.58</v>
      </c>
    </row>
    <row r="468" spans="1:13" x14ac:dyDescent="0.45">
      <c r="A468">
        <v>467</v>
      </c>
      <c r="B468" t="s">
        <v>15</v>
      </c>
      <c r="C468">
        <v>435</v>
      </c>
      <c r="D468">
        <v>52</v>
      </c>
      <c r="E468">
        <v>21</v>
      </c>
      <c r="F468">
        <v>40</v>
      </c>
      <c r="G468" t="s">
        <v>16</v>
      </c>
      <c r="H468" t="s">
        <v>14</v>
      </c>
      <c r="I468" t="s">
        <v>14</v>
      </c>
      <c r="J468">
        <f t="shared" si="28"/>
        <v>51.480000000000011</v>
      </c>
      <c r="K468">
        <f t="shared" si="29"/>
        <v>67</v>
      </c>
      <c r="L468">
        <f t="shared" si="30"/>
        <v>31</v>
      </c>
      <c r="M468">
        <f t="shared" si="31"/>
        <v>52.599999999999994</v>
      </c>
    </row>
    <row r="469" spans="1:13" x14ac:dyDescent="0.45">
      <c r="A469">
        <v>468</v>
      </c>
      <c r="B469" t="s">
        <v>17</v>
      </c>
      <c r="C469">
        <v>1390</v>
      </c>
      <c r="D469">
        <v>72</v>
      </c>
      <c r="E469">
        <v>50</v>
      </c>
      <c r="F469">
        <v>21</v>
      </c>
      <c r="G469" t="s">
        <v>16</v>
      </c>
      <c r="H469" t="s">
        <v>16</v>
      </c>
      <c r="I469" t="s">
        <v>16</v>
      </c>
      <c r="J469">
        <f t="shared" si="28"/>
        <v>79.2</v>
      </c>
      <c r="K469">
        <f t="shared" si="29"/>
        <v>68.900000000000006</v>
      </c>
      <c r="L469">
        <f t="shared" si="30"/>
        <v>36</v>
      </c>
      <c r="M469">
        <f t="shared" si="31"/>
        <v>55.74</v>
      </c>
    </row>
    <row r="470" spans="1:13" x14ac:dyDescent="0.45">
      <c r="A470">
        <v>469</v>
      </c>
      <c r="B470" t="s">
        <v>13</v>
      </c>
      <c r="C470">
        <v>369</v>
      </c>
      <c r="D470">
        <v>82</v>
      </c>
      <c r="E470">
        <v>51</v>
      </c>
      <c r="F470">
        <v>34</v>
      </c>
      <c r="G470" t="s">
        <v>16</v>
      </c>
      <c r="H470" t="s">
        <v>14</v>
      </c>
      <c r="I470" t="s">
        <v>16</v>
      </c>
      <c r="J470">
        <f t="shared" si="28"/>
        <v>90.2</v>
      </c>
      <c r="K470">
        <f t="shared" si="29"/>
        <v>81.599999999999994</v>
      </c>
      <c r="L470">
        <f t="shared" si="30"/>
        <v>46</v>
      </c>
      <c r="M470">
        <f t="shared" si="31"/>
        <v>67.36</v>
      </c>
    </row>
    <row r="471" spans="1:13" x14ac:dyDescent="0.45">
      <c r="A471">
        <v>470</v>
      </c>
      <c r="B471" t="s">
        <v>17</v>
      </c>
      <c r="C471">
        <v>223</v>
      </c>
      <c r="D471">
        <v>52</v>
      </c>
      <c r="E471">
        <v>21</v>
      </c>
      <c r="F471">
        <v>26</v>
      </c>
      <c r="G471" t="s">
        <v>16</v>
      </c>
      <c r="H471" t="s">
        <v>14</v>
      </c>
      <c r="I471" t="s">
        <v>14</v>
      </c>
      <c r="J471">
        <f t="shared" si="28"/>
        <v>62.920000000000009</v>
      </c>
      <c r="K471">
        <f t="shared" si="29"/>
        <v>54.4</v>
      </c>
      <c r="L471">
        <f t="shared" si="30"/>
        <v>31</v>
      </c>
      <c r="M471">
        <f t="shared" si="31"/>
        <v>45.04</v>
      </c>
    </row>
    <row r="472" spans="1:13" x14ac:dyDescent="0.45">
      <c r="A472">
        <v>471</v>
      </c>
      <c r="B472" t="s">
        <v>17</v>
      </c>
      <c r="C472">
        <v>807</v>
      </c>
      <c r="D472">
        <v>72</v>
      </c>
      <c r="E472">
        <v>22</v>
      </c>
      <c r="F472">
        <v>35</v>
      </c>
      <c r="G472" t="s">
        <v>14</v>
      </c>
      <c r="H472" t="s">
        <v>14</v>
      </c>
      <c r="I472" t="s">
        <v>14</v>
      </c>
      <c r="J472">
        <f t="shared" si="28"/>
        <v>87.12</v>
      </c>
      <c r="K472">
        <f t="shared" si="29"/>
        <v>63.5</v>
      </c>
      <c r="L472">
        <f t="shared" si="30"/>
        <v>51</v>
      </c>
      <c r="M472">
        <f t="shared" si="31"/>
        <v>58.5</v>
      </c>
    </row>
    <row r="473" spans="1:13" x14ac:dyDescent="0.45">
      <c r="A473">
        <v>472</v>
      </c>
      <c r="B473" t="s">
        <v>13</v>
      </c>
      <c r="C473">
        <v>1632</v>
      </c>
      <c r="D473">
        <v>84</v>
      </c>
      <c r="E473">
        <v>39</v>
      </c>
      <c r="F473">
        <v>39</v>
      </c>
      <c r="G473" t="s">
        <v>14</v>
      </c>
      <c r="H473" t="s">
        <v>14</v>
      </c>
      <c r="I473" t="s">
        <v>14</v>
      </c>
      <c r="J473">
        <f t="shared" si="28"/>
        <v>92.4</v>
      </c>
      <c r="K473">
        <f t="shared" si="29"/>
        <v>84.1</v>
      </c>
      <c r="L473">
        <f t="shared" si="30"/>
        <v>57</v>
      </c>
      <c r="M473">
        <f t="shared" si="31"/>
        <v>73.259999999999991</v>
      </c>
    </row>
    <row r="474" spans="1:13" x14ac:dyDescent="0.45">
      <c r="A474">
        <v>473</v>
      </c>
      <c r="B474" t="s">
        <v>15</v>
      </c>
      <c r="C474">
        <v>1630</v>
      </c>
      <c r="D474">
        <v>90</v>
      </c>
      <c r="E474">
        <v>24</v>
      </c>
      <c r="F474">
        <v>23</v>
      </c>
      <c r="G474" t="s">
        <v>16</v>
      </c>
      <c r="H474" t="s">
        <v>16</v>
      </c>
      <c r="I474" t="s">
        <v>14</v>
      </c>
      <c r="J474">
        <f t="shared" si="28"/>
        <v>81</v>
      </c>
      <c r="K474">
        <f t="shared" si="29"/>
        <v>54.7</v>
      </c>
      <c r="L474">
        <f t="shared" si="30"/>
        <v>45</v>
      </c>
      <c r="M474">
        <f t="shared" si="31"/>
        <v>50.82</v>
      </c>
    </row>
    <row r="475" spans="1:13" x14ac:dyDescent="0.45">
      <c r="A475">
        <v>474</v>
      </c>
      <c r="B475" t="s">
        <v>15</v>
      </c>
      <c r="C475">
        <v>909</v>
      </c>
      <c r="D475">
        <v>58</v>
      </c>
      <c r="E475">
        <v>53</v>
      </c>
      <c r="F475">
        <v>18</v>
      </c>
      <c r="G475" t="s">
        <v>16</v>
      </c>
      <c r="H475" t="s">
        <v>14</v>
      </c>
      <c r="I475" t="s">
        <v>16</v>
      </c>
      <c r="J475">
        <f t="shared" si="28"/>
        <v>57.420000000000009</v>
      </c>
      <c r="K475">
        <f t="shared" si="29"/>
        <v>69.2</v>
      </c>
      <c r="L475">
        <f t="shared" si="30"/>
        <v>34</v>
      </c>
      <c r="M475">
        <f t="shared" si="31"/>
        <v>55.120000000000005</v>
      </c>
    </row>
    <row r="476" spans="1:13" x14ac:dyDescent="0.45">
      <c r="A476">
        <v>475</v>
      </c>
      <c r="B476" t="s">
        <v>17</v>
      </c>
      <c r="C476">
        <v>1917</v>
      </c>
      <c r="D476">
        <v>44</v>
      </c>
      <c r="E476">
        <v>42</v>
      </c>
      <c r="F476">
        <v>38</v>
      </c>
      <c r="G476" t="s">
        <v>14</v>
      </c>
      <c r="H476" t="s">
        <v>14</v>
      </c>
      <c r="I476" t="s">
        <v>14</v>
      </c>
      <c r="J476">
        <f t="shared" si="28"/>
        <v>53.240000000000009</v>
      </c>
      <c r="K476">
        <f t="shared" si="29"/>
        <v>86.2</v>
      </c>
      <c r="L476">
        <f t="shared" si="30"/>
        <v>37</v>
      </c>
      <c r="M476">
        <f t="shared" si="31"/>
        <v>66.52</v>
      </c>
    </row>
    <row r="477" spans="1:13" x14ac:dyDescent="0.45">
      <c r="A477">
        <v>476</v>
      </c>
      <c r="B477" t="s">
        <v>15</v>
      </c>
      <c r="C477">
        <v>1112</v>
      </c>
      <c r="D477">
        <v>45</v>
      </c>
      <c r="E477">
        <v>24</v>
      </c>
      <c r="F477">
        <v>28</v>
      </c>
      <c r="G477" t="s">
        <v>16</v>
      </c>
      <c r="H477" t="s">
        <v>16</v>
      </c>
      <c r="I477" t="s">
        <v>14</v>
      </c>
      <c r="J477">
        <f t="shared" si="28"/>
        <v>40.5</v>
      </c>
      <c r="K477">
        <f t="shared" si="29"/>
        <v>59.2</v>
      </c>
      <c r="L477">
        <f t="shared" si="30"/>
        <v>22.5</v>
      </c>
      <c r="M477">
        <f t="shared" si="31"/>
        <v>44.52</v>
      </c>
    </row>
    <row r="478" spans="1:13" x14ac:dyDescent="0.45">
      <c r="A478">
        <v>477</v>
      </c>
      <c r="B478" t="s">
        <v>13</v>
      </c>
      <c r="C478">
        <v>1554</v>
      </c>
      <c r="D478">
        <v>85</v>
      </c>
      <c r="E478">
        <v>48</v>
      </c>
      <c r="F478">
        <v>40</v>
      </c>
      <c r="G478" t="s">
        <v>14</v>
      </c>
      <c r="H478" t="s">
        <v>14</v>
      </c>
      <c r="I478" t="s">
        <v>14</v>
      </c>
      <c r="J478">
        <f t="shared" si="28"/>
        <v>93.500000000000014</v>
      </c>
      <c r="K478">
        <f t="shared" si="29"/>
        <v>94</v>
      </c>
      <c r="L478">
        <f t="shared" si="30"/>
        <v>57.5</v>
      </c>
      <c r="M478">
        <f t="shared" si="31"/>
        <v>79.400000000000006</v>
      </c>
    </row>
    <row r="479" spans="1:13" x14ac:dyDescent="0.45">
      <c r="A479">
        <v>478</v>
      </c>
      <c r="B479" t="s">
        <v>17</v>
      </c>
      <c r="C479">
        <v>1530</v>
      </c>
      <c r="D479">
        <v>78</v>
      </c>
      <c r="E479">
        <v>26</v>
      </c>
      <c r="F479">
        <v>16</v>
      </c>
      <c r="G479" t="s">
        <v>14</v>
      </c>
      <c r="H479" t="s">
        <v>14</v>
      </c>
      <c r="I479" t="s">
        <v>14</v>
      </c>
      <c r="J479">
        <f t="shared" si="28"/>
        <v>94.380000000000024</v>
      </c>
      <c r="K479">
        <f t="shared" si="29"/>
        <v>50.4</v>
      </c>
      <c r="L479">
        <f t="shared" si="30"/>
        <v>54</v>
      </c>
      <c r="M479">
        <f t="shared" si="31"/>
        <v>51.84</v>
      </c>
    </row>
    <row r="480" spans="1:13" x14ac:dyDescent="0.45">
      <c r="A480">
        <v>479</v>
      </c>
      <c r="B480" t="s">
        <v>17</v>
      </c>
      <c r="C480">
        <v>1276</v>
      </c>
      <c r="D480">
        <v>72</v>
      </c>
      <c r="E480">
        <v>43</v>
      </c>
      <c r="F480">
        <v>24</v>
      </c>
      <c r="G480" t="s">
        <v>16</v>
      </c>
      <c r="H480" t="s">
        <v>16</v>
      </c>
      <c r="I480" t="s">
        <v>14</v>
      </c>
      <c r="J480">
        <f t="shared" si="28"/>
        <v>79.2</v>
      </c>
      <c r="K480">
        <f t="shared" si="29"/>
        <v>74.599999999999994</v>
      </c>
      <c r="L480">
        <f t="shared" si="30"/>
        <v>36</v>
      </c>
      <c r="M480">
        <f t="shared" si="31"/>
        <v>59.16</v>
      </c>
    </row>
    <row r="481" spans="1:13" x14ac:dyDescent="0.45">
      <c r="A481">
        <v>480</v>
      </c>
      <c r="B481" t="s">
        <v>17</v>
      </c>
      <c r="C481">
        <v>1073</v>
      </c>
      <c r="D481">
        <v>54</v>
      </c>
      <c r="E481">
        <v>21</v>
      </c>
      <c r="F481">
        <v>16</v>
      </c>
      <c r="G481" t="s">
        <v>14</v>
      </c>
      <c r="H481" t="s">
        <v>16</v>
      </c>
      <c r="I481" t="s">
        <v>14</v>
      </c>
      <c r="J481">
        <f t="shared" si="28"/>
        <v>59.400000000000006</v>
      </c>
      <c r="K481">
        <f t="shared" si="29"/>
        <v>45.4</v>
      </c>
      <c r="L481">
        <f t="shared" si="30"/>
        <v>37</v>
      </c>
      <c r="M481">
        <f t="shared" si="31"/>
        <v>42.04</v>
      </c>
    </row>
    <row r="482" spans="1:13" x14ac:dyDescent="0.45">
      <c r="A482">
        <v>481</v>
      </c>
      <c r="B482" t="s">
        <v>17</v>
      </c>
      <c r="C482">
        <v>287</v>
      </c>
      <c r="D482">
        <v>54</v>
      </c>
      <c r="E482">
        <v>27</v>
      </c>
      <c r="F482">
        <v>24</v>
      </c>
      <c r="G482" t="s">
        <v>14</v>
      </c>
      <c r="H482" t="s">
        <v>16</v>
      </c>
      <c r="I482" t="s">
        <v>14</v>
      </c>
      <c r="J482">
        <f t="shared" si="28"/>
        <v>59.400000000000006</v>
      </c>
      <c r="K482">
        <f t="shared" si="29"/>
        <v>58.6</v>
      </c>
      <c r="L482">
        <f t="shared" si="30"/>
        <v>37</v>
      </c>
      <c r="M482">
        <f t="shared" si="31"/>
        <v>49.959999999999994</v>
      </c>
    </row>
    <row r="483" spans="1:13" x14ac:dyDescent="0.45">
      <c r="A483">
        <v>482</v>
      </c>
      <c r="B483" t="s">
        <v>15</v>
      </c>
      <c r="C483">
        <v>708</v>
      </c>
      <c r="D483">
        <v>93</v>
      </c>
      <c r="E483">
        <v>51</v>
      </c>
      <c r="F483">
        <v>23</v>
      </c>
      <c r="G483" t="s">
        <v>16</v>
      </c>
      <c r="H483" t="s">
        <v>14</v>
      </c>
      <c r="I483" t="s">
        <v>16</v>
      </c>
      <c r="J483">
        <f t="shared" si="28"/>
        <v>92.070000000000007</v>
      </c>
      <c r="K483">
        <f t="shared" si="29"/>
        <v>71.7</v>
      </c>
      <c r="L483">
        <f t="shared" si="30"/>
        <v>51.5</v>
      </c>
      <c r="M483">
        <f t="shared" si="31"/>
        <v>63.620000000000005</v>
      </c>
    </row>
    <row r="484" spans="1:13" x14ac:dyDescent="0.45">
      <c r="A484">
        <v>483</v>
      </c>
      <c r="B484" t="s">
        <v>15</v>
      </c>
      <c r="C484">
        <v>759</v>
      </c>
      <c r="D484">
        <v>91</v>
      </c>
      <c r="E484">
        <v>49</v>
      </c>
      <c r="F484">
        <v>20</v>
      </c>
      <c r="G484" t="s">
        <v>16</v>
      </c>
      <c r="H484" t="s">
        <v>16</v>
      </c>
      <c r="I484" t="s">
        <v>16</v>
      </c>
      <c r="J484">
        <f t="shared" si="28"/>
        <v>81.900000000000006</v>
      </c>
      <c r="K484">
        <f t="shared" si="29"/>
        <v>67</v>
      </c>
      <c r="L484">
        <f t="shared" si="30"/>
        <v>45.5</v>
      </c>
      <c r="M484">
        <f t="shared" si="31"/>
        <v>58.399999999999991</v>
      </c>
    </row>
    <row r="485" spans="1:13" x14ac:dyDescent="0.45">
      <c r="A485">
        <v>484</v>
      </c>
      <c r="B485" t="s">
        <v>15</v>
      </c>
      <c r="C485">
        <v>1607</v>
      </c>
      <c r="D485">
        <v>77</v>
      </c>
      <c r="E485">
        <v>32</v>
      </c>
      <c r="F485">
        <v>40</v>
      </c>
      <c r="G485" t="s">
        <v>16</v>
      </c>
      <c r="H485" t="s">
        <v>14</v>
      </c>
      <c r="I485" t="s">
        <v>16</v>
      </c>
      <c r="J485">
        <f t="shared" si="28"/>
        <v>76.23</v>
      </c>
      <c r="K485">
        <f t="shared" si="29"/>
        <v>68</v>
      </c>
      <c r="L485">
        <f t="shared" si="30"/>
        <v>43.5</v>
      </c>
      <c r="M485">
        <f t="shared" si="31"/>
        <v>58.2</v>
      </c>
    </row>
    <row r="486" spans="1:13" x14ac:dyDescent="0.45">
      <c r="A486">
        <v>485</v>
      </c>
      <c r="B486" t="s">
        <v>13</v>
      </c>
      <c r="C486">
        <v>1698</v>
      </c>
      <c r="D486">
        <v>77</v>
      </c>
      <c r="E486">
        <v>56</v>
      </c>
      <c r="F486">
        <v>30</v>
      </c>
      <c r="G486" t="s">
        <v>14</v>
      </c>
      <c r="H486" t="s">
        <v>14</v>
      </c>
      <c r="I486" t="s">
        <v>14</v>
      </c>
      <c r="J486">
        <f t="shared" si="28"/>
        <v>84.7</v>
      </c>
      <c r="K486">
        <f t="shared" si="29"/>
        <v>93</v>
      </c>
      <c r="L486">
        <f t="shared" si="30"/>
        <v>53.5</v>
      </c>
      <c r="M486">
        <f t="shared" si="31"/>
        <v>77.2</v>
      </c>
    </row>
    <row r="487" spans="1:13" x14ac:dyDescent="0.45">
      <c r="A487">
        <v>486</v>
      </c>
      <c r="B487" t="s">
        <v>13</v>
      </c>
      <c r="C487">
        <v>467</v>
      </c>
      <c r="D487">
        <v>61</v>
      </c>
      <c r="E487">
        <v>49</v>
      </c>
      <c r="F487">
        <v>19</v>
      </c>
      <c r="G487" t="s">
        <v>16</v>
      </c>
      <c r="H487" t="s">
        <v>14</v>
      </c>
      <c r="I487" t="s">
        <v>14</v>
      </c>
      <c r="J487">
        <f t="shared" si="28"/>
        <v>67.100000000000009</v>
      </c>
      <c r="K487">
        <f t="shared" si="29"/>
        <v>76.099999999999994</v>
      </c>
      <c r="L487">
        <f t="shared" si="30"/>
        <v>35.5</v>
      </c>
      <c r="M487">
        <f t="shared" si="31"/>
        <v>59.86</v>
      </c>
    </row>
    <row r="488" spans="1:13" x14ac:dyDescent="0.45">
      <c r="A488">
        <v>487</v>
      </c>
      <c r="B488" t="s">
        <v>17</v>
      </c>
      <c r="C488">
        <v>966</v>
      </c>
      <c r="D488">
        <v>72</v>
      </c>
      <c r="E488">
        <v>49</v>
      </c>
      <c r="F488">
        <v>24</v>
      </c>
      <c r="G488" t="s">
        <v>14</v>
      </c>
      <c r="H488" t="s">
        <v>14</v>
      </c>
      <c r="I488" t="s">
        <v>16</v>
      </c>
      <c r="J488">
        <f t="shared" si="28"/>
        <v>87.12</v>
      </c>
      <c r="K488">
        <f t="shared" si="29"/>
        <v>70.599999999999994</v>
      </c>
      <c r="L488">
        <f t="shared" si="30"/>
        <v>51</v>
      </c>
      <c r="M488">
        <f t="shared" si="31"/>
        <v>62.759999999999991</v>
      </c>
    </row>
    <row r="489" spans="1:13" x14ac:dyDescent="0.45">
      <c r="A489">
        <v>488</v>
      </c>
      <c r="B489" t="s">
        <v>13</v>
      </c>
      <c r="C489">
        <v>1243</v>
      </c>
      <c r="D489">
        <v>49</v>
      </c>
      <c r="E489">
        <v>44</v>
      </c>
      <c r="F489">
        <v>29</v>
      </c>
      <c r="G489" t="s">
        <v>14</v>
      </c>
      <c r="H489" t="s">
        <v>14</v>
      </c>
      <c r="I489" t="s">
        <v>16</v>
      </c>
      <c r="J489">
        <f t="shared" si="28"/>
        <v>53.900000000000006</v>
      </c>
      <c r="K489">
        <f t="shared" si="29"/>
        <v>70.099999999999994</v>
      </c>
      <c r="L489">
        <f t="shared" si="30"/>
        <v>39.5</v>
      </c>
      <c r="M489">
        <f t="shared" si="31"/>
        <v>57.86</v>
      </c>
    </row>
    <row r="490" spans="1:13" x14ac:dyDescent="0.45">
      <c r="A490">
        <v>489</v>
      </c>
      <c r="B490" t="s">
        <v>15</v>
      </c>
      <c r="C490">
        <v>427</v>
      </c>
      <c r="D490">
        <v>63</v>
      </c>
      <c r="E490">
        <v>36</v>
      </c>
      <c r="F490">
        <v>17</v>
      </c>
      <c r="G490" t="s">
        <v>16</v>
      </c>
      <c r="H490" t="s">
        <v>14</v>
      </c>
      <c r="I490" t="s">
        <v>14</v>
      </c>
      <c r="J490">
        <f t="shared" si="28"/>
        <v>62.370000000000012</v>
      </c>
      <c r="K490">
        <f t="shared" si="29"/>
        <v>61.3</v>
      </c>
      <c r="L490">
        <f t="shared" si="30"/>
        <v>36.5</v>
      </c>
      <c r="M490">
        <f t="shared" si="31"/>
        <v>51.379999999999995</v>
      </c>
    </row>
    <row r="491" spans="1:13" x14ac:dyDescent="0.45">
      <c r="A491">
        <v>490</v>
      </c>
      <c r="B491" t="s">
        <v>13</v>
      </c>
      <c r="C491">
        <v>1890</v>
      </c>
      <c r="D491">
        <v>65</v>
      </c>
      <c r="E491">
        <v>55</v>
      </c>
      <c r="F491">
        <v>34</v>
      </c>
      <c r="G491" t="s">
        <v>16</v>
      </c>
      <c r="H491" t="s">
        <v>16</v>
      </c>
      <c r="I491" t="s">
        <v>16</v>
      </c>
      <c r="J491">
        <f t="shared" si="28"/>
        <v>65</v>
      </c>
      <c r="K491">
        <f t="shared" si="29"/>
        <v>85.6</v>
      </c>
      <c r="L491">
        <f t="shared" si="30"/>
        <v>32.5</v>
      </c>
      <c r="M491">
        <f t="shared" si="31"/>
        <v>64.359999999999985</v>
      </c>
    </row>
    <row r="492" spans="1:13" x14ac:dyDescent="0.45">
      <c r="A492">
        <v>491</v>
      </c>
      <c r="B492" t="s">
        <v>17</v>
      </c>
      <c r="C492">
        <v>1024</v>
      </c>
      <c r="D492">
        <v>75</v>
      </c>
      <c r="E492">
        <v>31</v>
      </c>
      <c r="F492">
        <v>31</v>
      </c>
      <c r="G492" t="s">
        <v>16</v>
      </c>
      <c r="H492" t="s">
        <v>14</v>
      </c>
      <c r="I492" t="s">
        <v>14</v>
      </c>
      <c r="J492">
        <f t="shared" si="28"/>
        <v>90.750000000000014</v>
      </c>
      <c r="K492">
        <f t="shared" si="29"/>
        <v>68.900000000000006</v>
      </c>
      <c r="L492">
        <f t="shared" si="30"/>
        <v>42.5</v>
      </c>
      <c r="M492">
        <f t="shared" si="31"/>
        <v>58.34</v>
      </c>
    </row>
    <row r="493" spans="1:13" x14ac:dyDescent="0.45">
      <c r="A493">
        <v>492</v>
      </c>
      <c r="B493" t="s">
        <v>17</v>
      </c>
      <c r="C493">
        <v>420</v>
      </c>
      <c r="D493">
        <v>62</v>
      </c>
      <c r="E493">
        <v>55</v>
      </c>
      <c r="F493">
        <v>16</v>
      </c>
      <c r="G493" t="s">
        <v>14</v>
      </c>
      <c r="H493" t="s">
        <v>14</v>
      </c>
      <c r="I493" t="s">
        <v>16</v>
      </c>
      <c r="J493">
        <f t="shared" si="28"/>
        <v>75.02000000000001</v>
      </c>
      <c r="K493">
        <f t="shared" si="29"/>
        <v>69.400000000000006</v>
      </c>
      <c r="L493">
        <f t="shared" si="30"/>
        <v>46</v>
      </c>
      <c r="M493">
        <f t="shared" si="31"/>
        <v>60.040000000000006</v>
      </c>
    </row>
    <row r="494" spans="1:13" x14ac:dyDescent="0.45">
      <c r="A494">
        <v>493</v>
      </c>
      <c r="B494" t="s">
        <v>13</v>
      </c>
      <c r="C494">
        <v>1894</v>
      </c>
      <c r="D494">
        <v>70</v>
      </c>
      <c r="E494">
        <v>27</v>
      </c>
      <c r="F494">
        <v>19</v>
      </c>
      <c r="G494" t="s">
        <v>14</v>
      </c>
      <c r="H494" t="s">
        <v>16</v>
      </c>
      <c r="I494" t="s">
        <v>14</v>
      </c>
      <c r="J494">
        <f t="shared" si="28"/>
        <v>70</v>
      </c>
      <c r="K494">
        <f t="shared" si="29"/>
        <v>54.1</v>
      </c>
      <c r="L494">
        <f t="shared" si="30"/>
        <v>45</v>
      </c>
      <c r="M494">
        <f t="shared" si="31"/>
        <v>50.46</v>
      </c>
    </row>
    <row r="495" spans="1:13" x14ac:dyDescent="0.45">
      <c r="A495">
        <v>494</v>
      </c>
      <c r="B495" t="s">
        <v>13</v>
      </c>
      <c r="C495">
        <v>1757</v>
      </c>
      <c r="D495">
        <v>53</v>
      </c>
      <c r="E495">
        <v>54</v>
      </c>
      <c r="F495">
        <v>30</v>
      </c>
      <c r="G495" t="s">
        <v>16</v>
      </c>
      <c r="H495" t="s">
        <v>14</v>
      </c>
      <c r="I495" t="s">
        <v>16</v>
      </c>
      <c r="J495">
        <f t="shared" si="28"/>
        <v>58.300000000000004</v>
      </c>
      <c r="K495">
        <f t="shared" si="29"/>
        <v>81</v>
      </c>
      <c r="L495">
        <f t="shared" si="30"/>
        <v>31.5</v>
      </c>
      <c r="M495">
        <f t="shared" si="31"/>
        <v>61.2</v>
      </c>
    </row>
    <row r="496" spans="1:13" x14ac:dyDescent="0.45">
      <c r="A496">
        <v>495</v>
      </c>
      <c r="B496" t="s">
        <v>15</v>
      </c>
      <c r="C496">
        <v>913</v>
      </c>
      <c r="D496">
        <v>86</v>
      </c>
      <c r="E496">
        <v>22</v>
      </c>
      <c r="F496">
        <v>15</v>
      </c>
      <c r="G496" t="s">
        <v>14</v>
      </c>
      <c r="H496" t="s">
        <v>14</v>
      </c>
      <c r="I496" t="s">
        <v>14</v>
      </c>
      <c r="J496">
        <f t="shared" si="28"/>
        <v>85.140000000000015</v>
      </c>
      <c r="K496">
        <f t="shared" si="29"/>
        <v>45.5</v>
      </c>
      <c r="L496">
        <f t="shared" si="30"/>
        <v>58</v>
      </c>
      <c r="M496">
        <f t="shared" si="31"/>
        <v>50.5</v>
      </c>
    </row>
    <row r="497" spans="1:13" x14ac:dyDescent="0.45">
      <c r="A497">
        <v>496</v>
      </c>
      <c r="B497" t="s">
        <v>15</v>
      </c>
      <c r="C497">
        <v>1997</v>
      </c>
      <c r="D497">
        <v>53</v>
      </c>
      <c r="E497">
        <v>20</v>
      </c>
      <c r="F497">
        <v>26</v>
      </c>
      <c r="G497" t="s">
        <v>16</v>
      </c>
      <c r="H497" t="s">
        <v>16</v>
      </c>
      <c r="I497" t="s">
        <v>16</v>
      </c>
      <c r="J497">
        <f t="shared" si="28"/>
        <v>47.7</v>
      </c>
      <c r="K497">
        <f t="shared" si="29"/>
        <v>43.4</v>
      </c>
      <c r="L497">
        <f t="shared" si="30"/>
        <v>26.5</v>
      </c>
      <c r="M497">
        <f t="shared" si="31"/>
        <v>36.64</v>
      </c>
    </row>
    <row r="498" spans="1:13" x14ac:dyDescent="0.45">
      <c r="A498">
        <v>497</v>
      </c>
      <c r="B498" t="s">
        <v>15</v>
      </c>
      <c r="C498">
        <v>1821</v>
      </c>
      <c r="D498">
        <v>43</v>
      </c>
      <c r="E498">
        <v>26</v>
      </c>
      <c r="F498">
        <v>25</v>
      </c>
      <c r="G498" t="s">
        <v>16</v>
      </c>
      <c r="H498" t="s">
        <v>16</v>
      </c>
      <c r="I498" t="s">
        <v>16</v>
      </c>
      <c r="J498">
        <f t="shared" si="28"/>
        <v>38.700000000000003</v>
      </c>
      <c r="K498">
        <f t="shared" si="29"/>
        <v>48.5</v>
      </c>
      <c r="L498">
        <f t="shared" si="30"/>
        <v>21.5</v>
      </c>
      <c r="M498">
        <f t="shared" si="31"/>
        <v>37.699999999999996</v>
      </c>
    </row>
    <row r="499" spans="1:13" x14ac:dyDescent="0.45">
      <c r="A499">
        <v>498</v>
      </c>
      <c r="B499" t="s">
        <v>13</v>
      </c>
      <c r="C499">
        <v>1281</v>
      </c>
      <c r="D499">
        <v>66</v>
      </c>
      <c r="E499">
        <v>20</v>
      </c>
      <c r="F499">
        <v>18</v>
      </c>
      <c r="G499" t="s">
        <v>14</v>
      </c>
      <c r="H499" t="s">
        <v>16</v>
      </c>
      <c r="I499" t="s">
        <v>14</v>
      </c>
      <c r="J499">
        <f t="shared" si="28"/>
        <v>66</v>
      </c>
      <c r="K499">
        <f t="shared" si="29"/>
        <v>46.2</v>
      </c>
      <c r="L499">
        <f t="shared" si="30"/>
        <v>43</v>
      </c>
      <c r="M499">
        <f t="shared" si="31"/>
        <v>44.92</v>
      </c>
    </row>
    <row r="500" spans="1:13" x14ac:dyDescent="0.45">
      <c r="A500">
        <v>499</v>
      </c>
      <c r="B500" t="s">
        <v>13</v>
      </c>
      <c r="C500">
        <v>174</v>
      </c>
      <c r="D500">
        <v>94</v>
      </c>
      <c r="E500">
        <v>47</v>
      </c>
      <c r="F500">
        <v>29</v>
      </c>
      <c r="G500" t="s">
        <v>16</v>
      </c>
      <c r="H500" t="s">
        <v>16</v>
      </c>
      <c r="I500" t="s">
        <v>16</v>
      </c>
      <c r="J500">
        <f t="shared" si="28"/>
        <v>94</v>
      </c>
      <c r="K500">
        <f t="shared" si="29"/>
        <v>73.099999999999994</v>
      </c>
      <c r="L500">
        <f t="shared" si="30"/>
        <v>47</v>
      </c>
      <c r="M500">
        <f t="shared" si="31"/>
        <v>62.66</v>
      </c>
    </row>
    <row r="501" spans="1:13" x14ac:dyDescent="0.45">
      <c r="A501">
        <v>500</v>
      </c>
      <c r="B501" t="s">
        <v>17</v>
      </c>
      <c r="C501">
        <v>1374</v>
      </c>
      <c r="D501">
        <v>61</v>
      </c>
      <c r="E501">
        <v>30</v>
      </c>
      <c r="F501">
        <v>28</v>
      </c>
      <c r="G501" t="s">
        <v>16</v>
      </c>
      <c r="H501" t="s">
        <v>14</v>
      </c>
      <c r="I501" t="s">
        <v>14</v>
      </c>
      <c r="J501">
        <f t="shared" si="28"/>
        <v>73.810000000000016</v>
      </c>
      <c r="K501">
        <f t="shared" si="29"/>
        <v>65.2</v>
      </c>
      <c r="L501">
        <f t="shared" si="30"/>
        <v>35.5</v>
      </c>
      <c r="M501">
        <f t="shared" si="31"/>
        <v>53.32</v>
      </c>
    </row>
    <row r="502" spans="1:13" x14ac:dyDescent="0.45">
      <c r="A502">
        <v>501</v>
      </c>
      <c r="B502" t="s">
        <v>13</v>
      </c>
      <c r="C502">
        <v>1591</v>
      </c>
      <c r="D502">
        <v>93</v>
      </c>
      <c r="E502">
        <v>29</v>
      </c>
      <c r="F502">
        <v>19</v>
      </c>
      <c r="G502" t="s">
        <v>16</v>
      </c>
      <c r="H502" t="s">
        <v>14</v>
      </c>
      <c r="I502" t="s">
        <v>16</v>
      </c>
      <c r="J502">
        <f t="shared" si="28"/>
        <v>102.30000000000001</v>
      </c>
      <c r="K502">
        <f t="shared" si="29"/>
        <v>46.1</v>
      </c>
      <c r="L502">
        <f t="shared" si="30"/>
        <v>51.5</v>
      </c>
      <c r="M502">
        <f t="shared" si="31"/>
        <v>48.260000000000005</v>
      </c>
    </row>
    <row r="503" spans="1:13" x14ac:dyDescent="0.45">
      <c r="A503">
        <v>502</v>
      </c>
      <c r="B503" t="s">
        <v>17</v>
      </c>
      <c r="C503">
        <v>364</v>
      </c>
      <c r="D503">
        <v>45</v>
      </c>
      <c r="E503">
        <v>35</v>
      </c>
      <c r="F503">
        <v>18</v>
      </c>
      <c r="G503" t="s">
        <v>14</v>
      </c>
      <c r="H503" t="s">
        <v>16</v>
      </c>
      <c r="I503" t="s">
        <v>14</v>
      </c>
      <c r="J503">
        <f t="shared" si="28"/>
        <v>49.500000000000007</v>
      </c>
      <c r="K503">
        <f t="shared" si="29"/>
        <v>61.2</v>
      </c>
      <c r="L503">
        <f t="shared" si="30"/>
        <v>32.5</v>
      </c>
      <c r="M503">
        <f t="shared" si="31"/>
        <v>49.72</v>
      </c>
    </row>
    <row r="504" spans="1:13" x14ac:dyDescent="0.45">
      <c r="A504">
        <v>503</v>
      </c>
      <c r="B504" t="s">
        <v>17</v>
      </c>
      <c r="C504">
        <v>1231</v>
      </c>
      <c r="D504">
        <v>70</v>
      </c>
      <c r="E504">
        <v>53</v>
      </c>
      <c r="F504">
        <v>20</v>
      </c>
      <c r="G504" t="s">
        <v>16</v>
      </c>
      <c r="H504" t="s">
        <v>16</v>
      </c>
      <c r="I504" t="s">
        <v>16</v>
      </c>
      <c r="J504">
        <f t="shared" si="28"/>
        <v>77</v>
      </c>
      <c r="K504">
        <f t="shared" si="29"/>
        <v>71</v>
      </c>
      <c r="L504">
        <f t="shared" si="30"/>
        <v>35</v>
      </c>
      <c r="M504">
        <f t="shared" si="31"/>
        <v>56.6</v>
      </c>
    </row>
    <row r="505" spans="1:13" x14ac:dyDescent="0.45">
      <c r="A505">
        <v>504</v>
      </c>
      <c r="B505" t="s">
        <v>13</v>
      </c>
      <c r="C505">
        <v>610</v>
      </c>
      <c r="D505">
        <v>90</v>
      </c>
      <c r="E505">
        <v>39</v>
      </c>
      <c r="F505">
        <v>37</v>
      </c>
      <c r="G505" t="s">
        <v>16</v>
      </c>
      <c r="H505" t="s">
        <v>16</v>
      </c>
      <c r="I505" t="s">
        <v>14</v>
      </c>
      <c r="J505">
        <f t="shared" si="28"/>
        <v>90</v>
      </c>
      <c r="K505">
        <f t="shared" si="29"/>
        <v>82.3</v>
      </c>
      <c r="L505">
        <f t="shared" si="30"/>
        <v>45</v>
      </c>
      <c r="M505">
        <f t="shared" si="31"/>
        <v>67.38</v>
      </c>
    </row>
    <row r="506" spans="1:13" x14ac:dyDescent="0.45">
      <c r="A506">
        <v>505</v>
      </c>
      <c r="B506" t="s">
        <v>15</v>
      </c>
      <c r="C506">
        <v>761</v>
      </c>
      <c r="D506">
        <v>74</v>
      </c>
      <c r="E506">
        <v>48</v>
      </c>
      <c r="F506">
        <v>27</v>
      </c>
      <c r="G506" t="s">
        <v>14</v>
      </c>
      <c r="H506" t="s">
        <v>16</v>
      </c>
      <c r="I506" t="s">
        <v>14</v>
      </c>
      <c r="J506">
        <f t="shared" si="28"/>
        <v>66.600000000000009</v>
      </c>
      <c r="K506">
        <f t="shared" si="29"/>
        <v>82.3</v>
      </c>
      <c r="L506">
        <f t="shared" si="30"/>
        <v>47</v>
      </c>
      <c r="M506">
        <f t="shared" si="31"/>
        <v>68.179999999999993</v>
      </c>
    </row>
    <row r="507" spans="1:13" x14ac:dyDescent="0.45">
      <c r="A507">
        <v>506</v>
      </c>
      <c r="B507" t="s">
        <v>15</v>
      </c>
      <c r="C507">
        <v>1257</v>
      </c>
      <c r="D507">
        <v>54</v>
      </c>
      <c r="E507">
        <v>56</v>
      </c>
      <c r="F507">
        <v>22</v>
      </c>
      <c r="G507" t="s">
        <v>16</v>
      </c>
      <c r="H507" t="s">
        <v>14</v>
      </c>
      <c r="I507" t="s">
        <v>14</v>
      </c>
      <c r="J507">
        <f t="shared" si="28"/>
        <v>53.460000000000008</v>
      </c>
      <c r="K507">
        <f t="shared" si="29"/>
        <v>85.8</v>
      </c>
      <c r="L507">
        <f t="shared" si="30"/>
        <v>32</v>
      </c>
      <c r="M507">
        <f t="shared" si="31"/>
        <v>64.28</v>
      </c>
    </row>
    <row r="508" spans="1:13" x14ac:dyDescent="0.45">
      <c r="A508">
        <v>507</v>
      </c>
      <c r="B508" t="s">
        <v>13</v>
      </c>
      <c r="C508">
        <v>322</v>
      </c>
      <c r="D508">
        <v>40</v>
      </c>
      <c r="E508">
        <v>53</v>
      </c>
      <c r="F508">
        <v>34</v>
      </c>
      <c r="G508" t="s">
        <v>16</v>
      </c>
      <c r="H508" t="s">
        <v>14</v>
      </c>
      <c r="I508" t="s">
        <v>14</v>
      </c>
      <c r="J508">
        <f t="shared" si="28"/>
        <v>44</v>
      </c>
      <c r="K508">
        <f t="shared" si="29"/>
        <v>93.6</v>
      </c>
      <c r="L508">
        <f t="shared" si="30"/>
        <v>25</v>
      </c>
      <c r="M508">
        <f t="shared" si="31"/>
        <v>66.16</v>
      </c>
    </row>
    <row r="509" spans="1:13" x14ac:dyDescent="0.45">
      <c r="A509">
        <v>508</v>
      </c>
      <c r="B509" t="s">
        <v>17</v>
      </c>
      <c r="C509">
        <v>837</v>
      </c>
      <c r="D509">
        <v>40</v>
      </c>
      <c r="E509">
        <v>23</v>
      </c>
      <c r="F509">
        <v>25</v>
      </c>
      <c r="G509" t="s">
        <v>14</v>
      </c>
      <c r="H509" t="s">
        <v>16</v>
      </c>
      <c r="I509" t="s">
        <v>14</v>
      </c>
      <c r="J509">
        <f t="shared" si="28"/>
        <v>44</v>
      </c>
      <c r="K509">
        <f t="shared" si="29"/>
        <v>55.5</v>
      </c>
      <c r="L509">
        <f t="shared" si="30"/>
        <v>30</v>
      </c>
      <c r="M509">
        <f t="shared" si="31"/>
        <v>45.3</v>
      </c>
    </row>
    <row r="510" spans="1:13" x14ac:dyDescent="0.45">
      <c r="A510">
        <v>509</v>
      </c>
      <c r="B510" t="s">
        <v>15</v>
      </c>
      <c r="C510">
        <v>1921</v>
      </c>
      <c r="D510">
        <v>83</v>
      </c>
      <c r="E510">
        <v>32</v>
      </c>
      <c r="F510">
        <v>33</v>
      </c>
      <c r="G510" t="s">
        <v>16</v>
      </c>
      <c r="H510" t="s">
        <v>14</v>
      </c>
      <c r="I510" t="s">
        <v>14</v>
      </c>
      <c r="J510">
        <f t="shared" si="28"/>
        <v>82.170000000000016</v>
      </c>
      <c r="K510">
        <f t="shared" si="29"/>
        <v>71.7</v>
      </c>
      <c r="L510">
        <f t="shared" si="30"/>
        <v>46.5</v>
      </c>
      <c r="M510">
        <f t="shared" si="31"/>
        <v>61.620000000000005</v>
      </c>
    </row>
    <row r="511" spans="1:13" x14ac:dyDescent="0.45">
      <c r="A511">
        <v>510</v>
      </c>
      <c r="B511" t="s">
        <v>13</v>
      </c>
      <c r="C511">
        <v>1510</v>
      </c>
      <c r="D511">
        <v>57</v>
      </c>
      <c r="E511">
        <v>34</v>
      </c>
      <c r="F511">
        <v>22</v>
      </c>
      <c r="G511" t="s">
        <v>14</v>
      </c>
      <c r="H511" t="s">
        <v>14</v>
      </c>
      <c r="I511" t="s">
        <v>14</v>
      </c>
      <c r="J511">
        <f t="shared" si="28"/>
        <v>62.7</v>
      </c>
      <c r="K511">
        <f t="shared" si="29"/>
        <v>63.8</v>
      </c>
      <c r="L511">
        <f t="shared" si="30"/>
        <v>43.5</v>
      </c>
      <c r="M511">
        <f t="shared" si="31"/>
        <v>55.679999999999993</v>
      </c>
    </row>
    <row r="512" spans="1:13" x14ac:dyDescent="0.45">
      <c r="A512">
        <v>511</v>
      </c>
      <c r="B512" t="s">
        <v>17</v>
      </c>
      <c r="C512">
        <v>263</v>
      </c>
      <c r="D512">
        <v>81</v>
      </c>
      <c r="E512">
        <v>49</v>
      </c>
      <c r="F512">
        <v>19</v>
      </c>
      <c r="G512" t="s">
        <v>16</v>
      </c>
      <c r="H512" t="s">
        <v>16</v>
      </c>
      <c r="I512" t="s">
        <v>16</v>
      </c>
      <c r="J512">
        <f t="shared" si="28"/>
        <v>89.100000000000009</v>
      </c>
      <c r="K512">
        <f t="shared" si="29"/>
        <v>66.099999999999994</v>
      </c>
      <c r="L512">
        <f t="shared" si="30"/>
        <v>40.5</v>
      </c>
      <c r="M512">
        <f t="shared" si="31"/>
        <v>55.86</v>
      </c>
    </row>
    <row r="513" spans="1:13" x14ac:dyDescent="0.45">
      <c r="A513">
        <v>512</v>
      </c>
      <c r="B513" t="s">
        <v>15</v>
      </c>
      <c r="C513">
        <v>1694</v>
      </c>
      <c r="D513">
        <v>75</v>
      </c>
      <c r="E513">
        <v>35</v>
      </c>
      <c r="F513">
        <v>19</v>
      </c>
      <c r="G513" t="s">
        <v>14</v>
      </c>
      <c r="H513" t="s">
        <v>14</v>
      </c>
      <c r="I513" t="s">
        <v>14</v>
      </c>
      <c r="J513">
        <f t="shared" si="28"/>
        <v>74.25</v>
      </c>
      <c r="K513">
        <f t="shared" si="29"/>
        <v>62.1</v>
      </c>
      <c r="L513">
        <f t="shared" si="30"/>
        <v>52.5</v>
      </c>
      <c r="M513">
        <f t="shared" si="31"/>
        <v>58.26</v>
      </c>
    </row>
    <row r="514" spans="1:13" x14ac:dyDescent="0.45">
      <c r="A514">
        <v>513</v>
      </c>
      <c r="B514" t="s">
        <v>15</v>
      </c>
      <c r="C514">
        <v>1095</v>
      </c>
      <c r="D514">
        <v>94</v>
      </c>
      <c r="E514">
        <v>58</v>
      </c>
      <c r="F514">
        <v>30</v>
      </c>
      <c r="G514" t="s">
        <v>16</v>
      </c>
      <c r="H514" t="s">
        <v>16</v>
      </c>
      <c r="I514" t="s">
        <v>16</v>
      </c>
      <c r="J514">
        <f t="shared" ref="J514:J577" si="32">D514*(IF(B514="Residential",0.9,IF(B514="Commercial",1,IF(B514="Infrastructure",1.1,1))))*(IF(H514="Yes",1.1,1))</f>
        <v>84.600000000000009</v>
      </c>
      <c r="K514">
        <f t="shared" ref="K514:K577" si="33">MIN((((E514*100)+(F514*90))/100)+IF(I514="Yes",10,0),100)</f>
        <v>85</v>
      </c>
      <c r="L514">
        <f t="shared" ref="L514:L577" si="34">MIN((D514*0.5)+IF(G514="Yes",10,0)+IF(H514="Yes",5,0),100)</f>
        <v>47</v>
      </c>
      <c r="M514">
        <f t="shared" ref="M514:M577" si="35">MIN((K514*0.6)+(L514*0.4),100)</f>
        <v>69.8</v>
      </c>
    </row>
    <row r="515" spans="1:13" x14ac:dyDescent="0.45">
      <c r="A515">
        <v>514</v>
      </c>
      <c r="B515" t="s">
        <v>15</v>
      </c>
      <c r="C515">
        <v>990</v>
      </c>
      <c r="D515">
        <v>86</v>
      </c>
      <c r="E515">
        <v>44</v>
      </c>
      <c r="F515">
        <v>19</v>
      </c>
      <c r="G515" t="s">
        <v>16</v>
      </c>
      <c r="H515" t="s">
        <v>16</v>
      </c>
      <c r="I515" t="s">
        <v>16</v>
      </c>
      <c r="J515">
        <f t="shared" si="32"/>
        <v>77.400000000000006</v>
      </c>
      <c r="K515">
        <f t="shared" si="33"/>
        <v>61.1</v>
      </c>
      <c r="L515">
        <f t="shared" si="34"/>
        <v>43</v>
      </c>
      <c r="M515">
        <f t="shared" si="35"/>
        <v>53.86</v>
      </c>
    </row>
    <row r="516" spans="1:13" x14ac:dyDescent="0.45">
      <c r="A516">
        <v>515</v>
      </c>
      <c r="B516" t="s">
        <v>15</v>
      </c>
      <c r="C516">
        <v>180</v>
      </c>
      <c r="D516">
        <v>43</v>
      </c>
      <c r="E516">
        <v>59</v>
      </c>
      <c r="F516">
        <v>36</v>
      </c>
      <c r="G516" t="s">
        <v>16</v>
      </c>
      <c r="H516" t="s">
        <v>14</v>
      </c>
      <c r="I516" t="s">
        <v>14</v>
      </c>
      <c r="J516">
        <f t="shared" si="32"/>
        <v>42.570000000000007</v>
      </c>
      <c r="K516">
        <f t="shared" si="33"/>
        <v>100</v>
      </c>
      <c r="L516">
        <f t="shared" si="34"/>
        <v>26.5</v>
      </c>
      <c r="M516">
        <f t="shared" si="35"/>
        <v>70.599999999999994</v>
      </c>
    </row>
    <row r="517" spans="1:13" x14ac:dyDescent="0.45">
      <c r="A517">
        <v>516</v>
      </c>
      <c r="B517" t="s">
        <v>17</v>
      </c>
      <c r="C517">
        <v>1091</v>
      </c>
      <c r="D517">
        <v>59</v>
      </c>
      <c r="E517">
        <v>56</v>
      </c>
      <c r="F517">
        <v>39</v>
      </c>
      <c r="G517" t="s">
        <v>14</v>
      </c>
      <c r="H517" t="s">
        <v>14</v>
      </c>
      <c r="I517" t="s">
        <v>14</v>
      </c>
      <c r="J517">
        <f t="shared" si="32"/>
        <v>71.390000000000015</v>
      </c>
      <c r="K517">
        <f t="shared" si="33"/>
        <v>100</v>
      </c>
      <c r="L517">
        <f t="shared" si="34"/>
        <v>44.5</v>
      </c>
      <c r="M517">
        <f t="shared" si="35"/>
        <v>77.8</v>
      </c>
    </row>
    <row r="518" spans="1:13" x14ac:dyDescent="0.45">
      <c r="A518">
        <v>517</v>
      </c>
      <c r="B518" t="s">
        <v>13</v>
      </c>
      <c r="C518">
        <v>276</v>
      </c>
      <c r="D518">
        <v>82</v>
      </c>
      <c r="E518">
        <v>33</v>
      </c>
      <c r="F518">
        <v>29</v>
      </c>
      <c r="G518" t="s">
        <v>16</v>
      </c>
      <c r="H518" t="s">
        <v>16</v>
      </c>
      <c r="I518" t="s">
        <v>14</v>
      </c>
      <c r="J518">
        <f t="shared" si="32"/>
        <v>82</v>
      </c>
      <c r="K518">
        <f t="shared" si="33"/>
        <v>69.099999999999994</v>
      </c>
      <c r="L518">
        <f t="shared" si="34"/>
        <v>41</v>
      </c>
      <c r="M518">
        <f t="shared" si="35"/>
        <v>57.86</v>
      </c>
    </row>
    <row r="519" spans="1:13" x14ac:dyDescent="0.45">
      <c r="A519">
        <v>518</v>
      </c>
      <c r="B519" t="s">
        <v>17</v>
      </c>
      <c r="C519">
        <v>1623</v>
      </c>
      <c r="D519">
        <v>69</v>
      </c>
      <c r="E519">
        <v>26</v>
      </c>
      <c r="F519">
        <v>34</v>
      </c>
      <c r="G519" t="s">
        <v>14</v>
      </c>
      <c r="H519" t="s">
        <v>16</v>
      </c>
      <c r="I519" t="s">
        <v>14</v>
      </c>
      <c r="J519">
        <f t="shared" si="32"/>
        <v>75.900000000000006</v>
      </c>
      <c r="K519">
        <f t="shared" si="33"/>
        <v>66.599999999999994</v>
      </c>
      <c r="L519">
        <f t="shared" si="34"/>
        <v>44.5</v>
      </c>
      <c r="M519">
        <f t="shared" si="35"/>
        <v>57.759999999999991</v>
      </c>
    </row>
    <row r="520" spans="1:13" x14ac:dyDescent="0.45">
      <c r="A520">
        <v>519</v>
      </c>
      <c r="B520" t="s">
        <v>13</v>
      </c>
      <c r="C520">
        <v>1500</v>
      </c>
      <c r="D520">
        <v>80</v>
      </c>
      <c r="E520">
        <v>40</v>
      </c>
      <c r="F520">
        <v>39</v>
      </c>
      <c r="G520" t="s">
        <v>14</v>
      </c>
      <c r="H520" t="s">
        <v>16</v>
      </c>
      <c r="I520" t="s">
        <v>16</v>
      </c>
      <c r="J520">
        <f t="shared" si="32"/>
        <v>80</v>
      </c>
      <c r="K520">
        <f t="shared" si="33"/>
        <v>75.099999999999994</v>
      </c>
      <c r="L520">
        <f t="shared" si="34"/>
        <v>50</v>
      </c>
      <c r="M520">
        <f t="shared" si="35"/>
        <v>65.06</v>
      </c>
    </row>
    <row r="521" spans="1:13" x14ac:dyDescent="0.45">
      <c r="A521">
        <v>520</v>
      </c>
      <c r="B521" t="s">
        <v>17</v>
      </c>
      <c r="C521">
        <v>1395</v>
      </c>
      <c r="D521">
        <v>86</v>
      </c>
      <c r="E521">
        <v>57</v>
      </c>
      <c r="F521">
        <v>19</v>
      </c>
      <c r="G521" t="s">
        <v>14</v>
      </c>
      <c r="H521" t="s">
        <v>14</v>
      </c>
      <c r="I521" t="s">
        <v>16</v>
      </c>
      <c r="J521">
        <f t="shared" si="32"/>
        <v>104.06000000000002</v>
      </c>
      <c r="K521">
        <f t="shared" si="33"/>
        <v>74.099999999999994</v>
      </c>
      <c r="L521">
        <f t="shared" si="34"/>
        <v>58</v>
      </c>
      <c r="M521">
        <f t="shared" si="35"/>
        <v>67.66</v>
      </c>
    </row>
    <row r="522" spans="1:13" x14ac:dyDescent="0.45">
      <c r="A522">
        <v>521</v>
      </c>
      <c r="B522" t="s">
        <v>15</v>
      </c>
      <c r="C522">
        <v>803</v>
      </c>
      <c r="D522">
        <v>83</v>
      </c>
      <c r="E522">
        <v>56</v>
      </c>
      <c r="F522">
        <v>39</v>
      </c>
      <c r="G522" t="s">
        <v>16</v>
      </c>
      <c r="H522" t="s">
        <v>14</v>
      </c>
      <c r="I522" t="s">
        <v>14</v>
      </c>
      <c r="J522">
        <f t="shared" si="32"/>
        <v>82.170000000000016</v>
      </c>
      <c r="K522">
        <f t="shared" si="33"/>
        <v>100</v>
      </c>
      <c r="L522">
        <f t="shared" si="34"/>
        <v>46.5</v>
      </c>
      <c r="M522">
        <f t="shared" si="35"/>
        <v>78.599999999999994</v>
      </c>
    </row>
    <row r="523" spans="1:13" x14ac:dyDescent="0.45">
      <c r="A523">
        <v>522</v>
      </c>
      <c r="B523" t="s">
        <v>15</v>
      </c>
      <c r="C523">
        <v>929</v>
      </c>
      <c r="D523">
        <v>78</v>
      </c>
      <c r="E523">
        <v>42</v>
      </c>
      <c r="F523">
        <v>25</v>
      </c>
      <c r="G523" t="s">
        <v>16</v>
      </c>
      <c r="H523" t="s">
        <v>14</v>
      </c>
      <c r="I523" t="s">
        <v>14</v>
      </c>
      <c r="J523">
        <f t="shared" si="32"/>
        <v>77.220000000000013</v>
      </c>
      <c r="K523">
        <f t="shared" si="33"/>
        <v>74.5</v>
      </c>
      <c r="L523">
        <f t="shared" si="34"/>
        <v>44</v>
      </c>
      <c r="M523">
        <f t="shared" si="35"/>
        <v>62.3</v>
      </c>
    </row>
    <row r="524" spans="1:13" x14ac:dyDescent="0.45">
      <c r="A524">
        <v>523</v>
      </c>
      <c r="B524" t="s">
        <v>13</v>
      </c>
      <c r="C524">
        <v>665</v>
      </c>
      <c r="D524">
        <v>66</v>
      </c>
      <c r="E524">
        <v>38</v>
      </c>
      <c r="F524">
        <v>17</v>
      </c>
      <c r="G524" t="s">
        <v>14</v>
      </c>
      <c r="H524" t="s">
        <v>16</v>
      </c>
      <c r="I524" t="s">
        <v>14</v>
      </c>
      <c r="J524">
        <f t="shared" si="32"/>
        <v>66</v>
      </c>
      <c r="K524">
        <f t="shared" si="33"/>
        <v>63.3</v>
      </c>
      <c r="L524">
        <f t="shared" si="34"/>
        <v>43</v>
      </c>
      <c r="M524">
        <f t="shared" si="35"/>
        <v>55.179999999999993</v>
      </c>
    </row>
    <row r="525" spans="1:13" x14ac:dyDescent="0.45">
      <c r="A525">
        <v>524</v>
      </c>
      <c r="B525" t="s">
        <v>17</v>
      </c>
      <c r="C525">
        <v>649</v>
      </c>
      <c r="D525">
        <v>41</v>
      </c>
      <c r="E525">
        <v>23</v>
      </c>
      <c r="F525">
        <v>30</v>
      </c>
      <c r="G525" t="s">
        <v>16</v>
      </c>
      <c r="H525" t="s">
        <v>16</v>
      </c>
      <c r="I525" t="s">
        <v>16</v>
      </c>
      <c r="J525">
        <f t="shared" si="32"/>
        <v>45.1</v>
      </c>
      <c r="K525">
        <f t="shared" si="33"/>
        <v>50</v>
      </c>
      <c r="L525">
        <f t="shared" si="34"/>
        <v>20.5</v>
      </c>
      <c r="M525">
        <f t="shared" si="35"/>
        <v>38.200000000000003</v>
      </c>
    </row>
    <row r="526" spans="1:13" x14ac:dyDescent="0.45">
      <c r="A526">
        <v>525</v>
      </c>
      <c r="B526" t="s">
        <v>17</v>
      </c>
      <c r="C526">
        <v>1495</v>
      </c>
      <c r="D526">
        <v>41</v>
      </c>
      <c r="E526">
        <v>41</v>
      </c>
      <c r="F526">
        <v>33</v>
      </c>
      <c r="G526" t="s">
        <v>16</v>
      </c>
      <c r="H526" t="s">
        <v>14</v>
      </c>
      <c r="I526" t="s">
        <v>14</v>
      </c>
      <c r="J526">
        <f t="shared" si="32"/>
        <v>49.610000000000007</v>
      </c>
      <c r="K526">
        <f t="shared" si="33"/>
        <v>80.7</v>
      </c>
      <c r="L526">
        <f t="shared" si="34"/>
        <v>25.5</v>
      </c>
      <c r="M526">
        <f t="shared" si="35"/>
        <v>58.620000000000005</v>
      </c>
    </row>
    <row r="527" spans="1:13" x14ac:dyDescent="0.45">
      <c r="A527">
        <v>526</v>
      </c>
      <c r="B527" t="s">
        <v>15</v>
      </c>
      <c r="C527">
        <v>1280</v>
      </c>
      <c r="D527">
        <v>56</v>
      </c>
      <c r="E527">
        <v>57</v>
      </c>
      <c r="F527">
        <v>16</v>
      </c>
      <c r="G527" t="s">
        <v>14</v>
      </c>
      <c r="H527" t="s">
        <v>16</v>
      </c>
      <c r="I527" t="s">
        <v>14</v>
      </c>
      <c r="J527">
        <f t="shared" si="32"/>
        <v>50.4</v>
      </c>
      <c r="K527">
        <f t="shared" si="33"/>
        <v>81.400000000000006</v>
      </c>
      <c r="L527">
        <f t="shared" si="34"/>
        <v>38</v>
      </c>
      <c r="M527">
        <f t="shared" si="35"/>
        <v>64.040000000000006</v>
      </c>
    </row>
    <row r="528" spans="1:13" x14ac:dyDescent="0.45">
      <c r="A528">
        <v>527</v>
      </c>
      <c r="B528" t="s">
        <v>17</v>
      </c>
      <c r="C528">
        <v>612</v>
      </c>
      <c r="D528">
        <v>90</v>
      </c>
      <c r="E528">
        <v>29</v>
      </c>
      <c r="F528">
        <v>35</v>
      </c>
      <c r="G528" t="s">
        <v>14</v>
      </c>
      <c r="H528" t="s">
        <v>16</v>
      </c>
      <c r="I528" t="s">
        <v>14</v>
      </c>
      <c r="J528">
        <f t="shared" si="32"/>
        <v>99.000000000000014</v>
      </c>
      <c r="K528">
        <f t="shared" si="33"/>
        <v>70.5</v>
      </c>
      <c r="L528">
        <f t="shared" si="34"/>
        <v>55</v>
      </c>
      <c r="M528">
        <f t="shared" si="35"/>
        <v>64.3</v>
      </c>
    </row>
    <row r="529" spans="1:13" x14ac:dyDescent="0.45">
      <c r="A529">
        <v>528</v>
      </c>
      <c r="B529" t="s">
        <v>17</v>
      </c>
      <c r="C529">
        <v>221</v>
      </c>
      <c r="D529">
        <v>65</v>
      </c>
      <c r="E529">
        <v>26</v>
      </c>
      <c r="F529">
        <v>16</v>
      </c>
      <c r="G529" t="s">
        <v>16</v>
      </c>
      <c r="H529" t="s">
        <v>14</v>
      </c>
      <c r="I529" t="s">
        <v>14</v>
      </c>
      <c r="J529">
        <f t="shared" si="32"/>
        <v>78.650000000000006</v>
      </c>
      <c r="K529">
        <f t="shared" si="33"/>
        <v>50.4</v>
      </c>
      <c r="L529">
        <f t="shared" si="34"/>
        <v>37.5</v>
      </c>
      <c r="M529">
        <f t="shared" si="35"/>
        <v>45.239999999999995</v>
      </c>
    </row>
    <row r="530" spans="1:13" x14ac:dyDescent="0.45">
      <c r="A530">
        <v>529</v>
      </c>
      <c r="B530" t="s">
        <v>15</v>
      </c>
      <c r="C530">
        <v>296</v>
      </c>
      <c r="D530">
        <v>50</v>
      </c>
      <c r="E530">
        <v>29</v>
      </c>
      <c r="F530">
        <v>30</v>
      </c>
      <c r="G530" t="s">
        <v>16</v>
      </c>
      <c r="H530" t="s">
        <v>16</v>
      </c>
      <c r="I530" t="s">
        <v>14</v>
      </c>
      <c r="J530">
        <f t="shared" si="32"/>
        <v>45</v>
      </c>
      <c r="K530">
        <f t="shared" si="33"/>
        <v>66</v>
      </c>
      <c r="L530">
        <f t="shared" si="34"/>
        <v>25</v>
      </c>
      <c r="M530">
        <f t="shared" si="35"/>
        <v>49.6</v>
      </c>
    </row>
    <row r="531" spans="1:13" x14ac:dyDescent="0.45">
      <c r="A531">
        <v>530</v>
      </c>
      <c r="B531" t="s">
        <v>17</v>
      </c>
      <c r="C531">
        <v>150</v>
      </c>
      <c r="D531">
        <v>62</v>
      </c>
      <c r="E531">
        <v>43</v>
      </c>
      <c r="F531">
        <v>16</v>
      </c>
      <c r="G531" t="s">
        <v>16</v>
      </c>
      <c r="H531" t="s">
        <v>14</v>
      </c>
      <c r="I531" t="s">
        <v>16</v>
      </c>
      <c r="J531">
        <f t="shared" si="32"/>
        <v>75.02000000000001</v>
      </c>
      <c r="K531">
        <f t="shared" si="33"/>
        <v>57.4</v>
      </c>
      <c r="L531">
        <f t="shared" si="34"/>
        <v>36</v>
      </c>
      <c r="M531">
        <f t="shared" si="35"/>
        <v>48.839999999999996</v>
      </c>
    </row>
    <row r="532" spans="1:13" x14ac:dyDescent="0.45">
      <c r="A532">
        <v>531</v>
      </c>
      <c r="B532" t="s">
        <v>17</v>
      </c>
      <c r="C532">
        <v>1210</v>
      </c>
      <c r="D532">
        <v>80</v>
      </c>
      <c r="E532">
        <v>28</v>
      </c>
      <c r="F532">
        <v>23</v>
      </c>
      <c r="G532" t="s">
        <v>14</v>
      </c>
      <c r="H532" t="s">
        <v>16</v>
      </c>
      <c r="I532" t="s">
        <v>14</v>
      </c>
      <c r="J532">
        <f t="shared" si="32"/>
        <v>88</v>
      </c>
      <c r="K532">
        <f t="shared" si="33"/>
        <v>58.7</v>
      </c>
      <c r="L532">
        <f t="shared" si="34"/>
        <v>50</v>
      </c>
      <c r="M532">
        <f t="shared" si="35"/>
        <v>55.22</v>
      </c>
    </row>
    <row r="533" spans="1:13" x14ac:dyDescent="0.45">
      <c r="A533">
        <v>532</v>
      </c>
      <c r="B533" t="s">
        <v>17</v>
      </c>
      <c r="C533">
        <v>1968</v>
      </c>
      <c r="D533">
        <v>58</v>
      </c>
      <c r="E533">
        <v>40</v>
      </c>
      <c r="F533">
        <v>26</v>
      </c>
      <c r="G533" t="s">
        <v>14</v>
      </c>
      <c r="H533" t="s">
        <v>16</v>
      </c>
      <c r="I533" t="s">
        <v>14</v>
      </c>
      <c r="J533">
        <f t="shared" si="32"/>
        <v>63.800000000000004</v>
      </c>
      <c r="K533">
        <f t="shared" si="33"/>
        <v>73.400000000000006</v>
      </c>
      <c r="L533">
        <f t="shared" si="34"/>
        <v>39</v>
      </c>
      <c r="M533">
        <f t="shared" si="35"/>
        <v>59.64</v>
      </c>
    </row>
    <row r="534" spans="1:13" x14ac:dyDescent="0.45">
      <c r="A534">
        <v>533</v>
      </c>
      <c r="B534" t="s">
        <v>17</v>
      </c>
      <c r="C534">
        <v>186</v>
      </c>
      <c r="D534">
        <v>74</v>
      </c>
      <c r="E534">
        <v>35</v>
      </c>
      <c r="F534">
        <v>37</v>
      </c>
      <c r="G534" t="s">
        <v>16</v>
      </c>
      <c r="H534" t="s">
        <v>14</v>
      </c>
      <c r="I534" t="s">
        <v>14</v>
      </c>
      <c r="J534">
        <f t="shared" si="32"/>
        <v>89.54000000000002</v>
      </c>
      <c r="K534">
        <f t="shared" si="33"/>
        <v>78.3</v>
      </c>
      <c r="L534">
        <f t="shared" si="34"/>
        <v>42</v>
      </c>
      <c r="M534">
        <f t="shared" si="35"/>
        <v>63.78</v>
      </c>
    </row>
    <row r="535" spans="1:13" x14ac:dyDescent="0.45">
      <c r="A535">
        <v>534</v>
      </c>
      <c r="B535" t="s">
        <v>13</v>
      </c>
      <c r="C535">
        <v>1260</v>
      </c>
      <c r="D535">
        <v>95</v>
      </c>
      <c r="E535">
        <v>32</v>
      </c>
      <c r="F535">
        <v>22</v>
      </c>
      <c r="G535" t="s">
        <v>14</v>
      </c>
      <c r="H535" t="s">
        <v>14</v>
      </c>
      <c r="I535" t="s">
        <v>16</v>
      </c>
      <c r="J535">
        <f t="shared" si="32"/>
        <v>104.50000000000001</v>
      </c>
      <c r="K535">
        <f t="shared" si="33"/>
        <v>51.8</v>
      </c>
      <c r="L535">
        <f t="shared" si="34"/>
        <v>62.5</v>
      </c>
      <c r="M535">
        <f t="shared" si="35"/>
        <v>56.08</v>
      </c>
    </row>
    <row r="536" spans="1:13" x14ac:dyDescent="0.45">
      <c r="A536">
        <v>535</v>
      </c>
      <c r="B536" t="s">
        <v>13</v>
      </c>
      <c r="C536">
        <v>1126</v>
      </c>
      <c r="D536">
        <v>95</v>
      </c>
      <c r="E536">
        <v>28</v>
      </c>
      <c r="F536">
        <v>35</v>
      </c>
      <c r="G536" t="s">
        <v>16</v>
      </c>
      <c r="H536" t="s">
        <v>16</v>
      </c>
      <c r="I536" t="s">
        <v>14</v>
      </c>
      <c r="J536">
        <f t="shared" si="32"/>
        <v>95</v>
      </c>
      <c r="K536">
        <f t="shared" si="33"/>
        <v>69.5</v>
      </c>
      <c r="L536">
        <f t="shared" si="34"/>
        <v>47.5</v>
      </c>
      <c r="M536">
        <f t="shared" si="35"/>
        <v>60.699999999999996</v>
      </c>
    </row>
    <row r="537" spans="1:13" x14ac:dyDescent="0.45">
      <c r="A537">
        <v>536</v>
      </c>
      <c r="B537" t="s">
        <v>17</v>
      </c>
      <c r="C537">
        <v>978</v>
      </c>
      <c r="D537">
        <v>73</v>
      </c>
      <c r="E537">
        <v>60</v>
      </c>
      <c r="F537">
        <v>25</v>
      </c>
      <c r="G537" t="s">
        <v>16</v>
      </c>
      <c r="H537" t="s">
        <v>16</v>
      </c>
      <c r="I537" t="s">
        <v>16</v>
      </c>
      <c r="J537">
        <f t="shared" si="32"/>
        <v>80.300000000000011</v>
      </c>
      <c r="K537">
        <f t="shared" si="33"/>
        <v>82.5</v>
      </c>
      <c r="L537">
        <f t="shared" si="34"/>
        <v>36.5</v>
      </c>
      <c r="M537">
        <f t="shared" si="35"/>
        <v>64.099999999999994</v>
      </c>
    </row>
    <row r="538" spans="1:13" x14ac:dyDescent="0.45">
      <c r="A538">
        <v>537</v>
      </c>
      <c r="B538" t="s">
        <v>17</v>
      </c>
      <c r="C538">
        <v>1830</v>
      </c>
      <c r="D538">
        <v>87</v>
      </c>
      <c r="E538">
        <v>33</v>
      </c>
      <c r="F538">
        <v>33</v>
      </c>
      <c r="G538" t="s">
        <v>16</v>
      </c>
      <c r="H538" t="s">
        <v>16</v>
      </c>
      <c r="I538" t="s">
        <v>14</v>
      </c>
      <c r="J538">
        <f t="shared" si="32"/>
        <v>95.7</v>
      </c>
      <c r="K538">
        <f t="shared" si="33"/>
        <v>72.7</v>
      </c>
      <c r="L538">
        <f t="shared" si="34"/>
        <v>43.5</v>
      </c>
      <c r="M538">
        <f t="shared" si="35"/>
        <v>61.019999999999996</v>
      </c>
    </row>
    <row r="539" spans="1:13" x14ac:dyDescent="0.45">
      <c r="A539">
        <v>538</v>
      </c>
      <c r="B539" t="s">
        <v>13</v>
      </c>
      <c r="C539">
        <v>1727</v>
      </c>
      <c r="D539">
        <v>92</v>
      </c>
      <c r="E539">
        <v>21</v>
      </c>
      <c r="F539">
        <v>37</v>
      </c>
      <c r="G539" t="s">
        <v>14</v>
      </c>
      <c r="H539" t="s">
        <v>14</v>
      </c>
      <c r="I539" t="s">
        <v>14</v>
      </c>
      <c r="J539">
        <f t="shared" si="32"/>
        <v>101.2</v>
      </c>
      <c r="K539">
        <f t="shared" si="33"/>
        <v>64.3</v>
      </c>
      <c r="L539">
        <f t="shared" si="34"/>
        <v>61</v>
      </c>
      <c r="M539">
        <f t="shared" si="35"/>
        <v>62.980000000000004</v>
      </c>
    </row>
    <row r="540" spans="1:13" x14ac:dyDescent="0.45">
      <c r="A540">
        <v>539</v>
      </c>
      <c r="B540" t="s">
        <v>17</v>
      </c>
      <c r="C540">
        <v>1504</v>
      </c>
      <c r="D540">
        <v>75</v>
      </c>
      <c r="E540">
        <v>24</v>
      </c>
      <c r="F540">
        <v>19</v>
      </c>
      <c r="G540" t="s">
        <v>14</v>
      </c>
      <c r="H540" t="s">
        <v>14</v>
      </c>
      <c r="I540" t="s">
        <v>14</v>
      </c>
      <c r="J540">
        <f t="shared" si="32"/>
        <v>90.750000000000014</v>
      </c>
      <c r="K540">
        <f t="shared" si="33"/>
        <v>51.1</v>
      </c>
      <c r="L540">
        <f t="shared" si="34"/>
        <v>52.5</v>
      </c>
      <c r="M540">
        <f t="shared" si="35"/>
        <v>51.66</v>
      </c>
    </row>
    <row r="541" spans="1:13" x14ac:dyDescent="0.45">
      <c r="A541">
        <v>540</v>
      </c>
      <c r="B541" t="s">
        <v>17</v>
      </c>
      <c r="C541">
        <v>1708</v>
      </c>
      <c r="D541">
        <v>90</v>
      </c>
      <c r="E541">
        <v>27</v>
      </c>
      <c r="F541">
        <v>22</v>
      </c>
      <c r="G541" t="s">
        <v>14</v>
      </c>
      <c r="H541" t="s">
        <v>14</v>
      </c>
      <c r="I541" t="s">
        <v>16</v>
      </c>
      <c r="J541">
        <f t="shared" si="32"/>
        <v>108.90000000000002</v>
      </c>
      <c r="K541">
        <f t="shared" si="33"/>
        <v>46.8</v>
      </c>
      <c r="L541">
        <f t="shared" si="34"/>
        <v>60</v>
      </c>
      <c r="M541">
        <f t="shared" si="35"/>
        <v>52.08</v>
      </c>
    </row>
    <row r="542" spans="1:13" x14ac:dyDescent="0.45">
      <c r="A542">
        <v>541</v>
      </c>
      <c r="B542" t="s">
        <v>15</v>
      </c>
      <c r="C542">
        <v>1965</v>
      </c>
      <c r="D542">
        <v>93</v>
      </c>
      <c r="E542">
        <v>31</v>
      </c>
      <c r="F542">
        <v>23</v>
      </c>
      <c r="G542" t="s">
        <v>14</v>
      </c>
      <c r="H542" t="s">
        <v>16</v>
      </c>
      <c r="I542" t="s">
        <v>16</v>
      </c>
      <c r="J542">
        <f t="shared" si="32"/>
        <v>83.7</v>
      </c>
      <c r="K542">
        <f t="shared" si="33"/>
        <v>51.7</v>
      </c>
      <c r="L542">
        <f t="shared" si="34"/>
        <v>56.5</v>
      </c>
      <c r="M542">
        <f t="shared" si="35"/>
        <v>53.620000000000005</v>
      </c>
    </row>
    <row r="543" spans="1:13" x14ac:dyDescent="0.45">
      <c r="A543">
        <v>542</v>
      </c>
      <c r="B543" t="s">
        <v>17</v>
      </c>
      <c r="C543">
        <v>1954</v>
      </c>
      <c r="D543">
        <v>56</v>
      </c>
      <c r="E543">
        <v>35</v>
      </c>
      <c r="F543">
        <v>31</v>
      </c>
      <c r="G543" t="s">
        <v>16</v>
      </c>
      <c r="H543" t="s">
        <v>14</v>
      </c>
      <c r="I543" t="s">
        <v>14</v>
      </c>
      <c r="J543">
        <f t="shared" si="32"/>
        <v>67.760000000000019</v>
      </c>
      <c r="K543">
        <f t="shared" si="33"/>
        <v>72.900000000000006</v>
      </c>
      <c r="L543">
        <f t="shared" si="34"/>
        <v>33</v>
      </c>
      <c r="M543">
        <f t="shared" si="35"/>
        <v>56.940000000000005</v>
      </c>
    </row>
    <row r="544" spans="1:13" x14ac:dyDescent="0.45">
      <c r="A544">
        <v>543</v>
      </c>
      <c r="B544" t="s">
        <v>17</v>
      </c>
      <c r="C544">
        <v>608</v>
      </c>
      <c r="D544">
        <v>58</v>
      </c>
      <c r="E544">
        <v>41</v>
      </c>
      <c r="F544">
        <v>22</v>
      </c>
      <c r="G544" t="s">
        <v>14</v>
      </c>
      <c r="H544" t="s">
        <v>16</v>
      </c>
      <c r="I544" t="s">
        <v>16</v>
      </c>
      <c r="J544">
        <f t="shared" si="32"/>
        <v>63.800000000000004</v>
      </c>
      <c r="K544">
        <f t="shared" si="33"/>
        <v>60.8</v>
      </c>
      <c r="L544">
        <f t="shared" si="34"/>
        <v>39</v>
      </c>
      <c r="M544">
        <f t="shared" si="35"/>
        <v>52.08</v>
      </c>
    </row>
    <row r="545" spans="1:13" x14ac:dyDescent="0.45">
      <c r="A545">
        <v>544</v>
      </c>
      <c r="B545" t="s">
        <v>15</v>
      </c>
      <c r="C545">
        <v>1228</v>
      </c>
      <c r="D545">
        <v>75</v>
      </c>
      <c r="E545">
        <v>49</v>
      </c>
      <c r="F545">
        <v>23</v>
      </c>
      <c r="G545" t="s">
        <v>14</v>
      </c>
      <c r="H545" t="s">
        <v>14</v>
      </c>
      <c r="I545" t="s">
        <v>16</v>
      </c>
      <c r="J545">
        <f t="shared" si="32"/>
        <v>74.25</v>
      </c>
      <c r="K545">
        <f t="shared" si="33"/>
        <v>69.7</v>
      </c>
      <c r="L545">
        <f t="shared" si="34"/>
        <v>52.5</v>
      </c>
      <c r="M545">
        <f t="shared" si="35"/>
        <v>62.82</v>
      </c>
    </row>
    <row r="546" spans="1:13" x14ac:dyDescent="0.45">
      <c r="A546">
        <v>545</v>
      </c>
      <c r="B546" t="s">
        <v>17</v>
      </c>
      <c r="C546">
        <v>903</v>
      </c>
      <c r="D546">
        <v>77</v>
      </c>
      <c r="E546">
        <v>60</v>
      </c>
      <c r="F546">
        <v>31</v>
      </c>
      <c r="G546" t="s">
        <v>14</v>
      </c>
      <c r="H546" t="s">
        <v>16</v>
      </c>
      <c r="I546" t="s">
        <v>16</v>
      </c>
      <c r="J546">
        <f t="shared" si="32"/>
        <v>84.7</v>
      </c>
      <c r="K546">
        <f t="shared" si="33"/>
        <v>87.9</v>
      </c>
      <c r="L546">
        <f t="shared" si="34"/>
        <v>48.5</v>
      </c>
      <c r="M546">
        <f t="shared" si="35"/>
        <v>72.14</v>
      </c>
    </row>
    <row r="547" spans="1:13" x14ac:dyDescent="0.45">
      <c r="A547">
        <v>546</v>
      </c>
      <c r="B547" t="s">
        <v>17</v>
      </c>
      <c r="C547">
        <v>1740</v>
      </c>
      <c r="D547">
        <v>60</v>
      </c>
      <c r="E547">
        <v>27</v>
      </c>
      <c r="F547">
        <v>34</v>
      </c>
      <c r="G547" t="s">
        <v>14</v>
      </c>
      <c r="H547" t="s">
        <v>14</v>
      </c>
      <c r="I547" t="s">
        <v>16</v>
      </c>
      <c r="J547">
        <f t="shared" si="32"/>
        <v>72.600000000000009</v>
      </c>
      <c r="K547">
        <f t="shared" si="33"/>
        <v>57.6</v>
      </c>
      <c r="L547">
        <f t="shared" si="34"/>
        <v>45</v>
      </c>
      <c r="M547">
        <f t="shared" si="35"/>
        <v>52.56</v>
      </c>
    </row>
    <row r="548" spans="1:13" x14ac:dyDescent="0.45">
      <c r="A548">
        <v>547</v>
      </c>
      <c r="B548" t="s">
        <v>17</v>
      </c>
      <c r="C548">
        <v>900</v>
      </c>
      <c r="D548">
        <v>74</v>
      </c>
      <c r="E548">
        <v>39</v>
      </c>
      <c r="F548">
        <v>35</v>
      </c>
      <c r="G548" t="s">
        <v>16</v>
      </c>
      <c r="H548" t="s">
        <v>16</v>
      </c>
      <c r="I548" t="s">
        <v>14</v>
      </c>
      <c r="J548">
        <f t="shared" si="32"/>
        <v>81.400000000000006</v>
      </c>
      <c r="K548">
        <f t="shared" si="33"/>
        <v>80.5</v>
      </c>
      <c r="L548">
        <f t="shared" si="34"/>
        <v>37</v>
      </c>
      <c r="M548">
        <f t="shared" si="35"/>
        <v>63.099999999999994</v>
      </c>
    </row>
    <row r="549" spans="1:13" x14ac:dyDescent="0.45">
      <c r="A549">
        <v>548</v>
      </c>
      <c r="B549" t="s">
        <v>13</v>
      </c>
      <c r="C549">
        <v>1882</v>
      </c>
      <c r="D549">
        <v>85</v>
      </c>
      <c r="E549">
        <v>46</v>
      </c>
      <c r="F549">
        <v>28</v>
      </c>
      <c r="G549" t="s">
        <v>16</v>
      </c>
      <c r="H549" t="s">
        <v>14</v>
      </c>
      <c r="I549" t="s">
        <v>16</v>
      </c>
      <c r="J549">
        <f t="shared" si="32"/>
        <v>93.500000000000014</v>
      </c>
      <c r="K549">
        <f t="shared" si="33"/>
        <v>71.2</v>
      </c>
      <c r="L549">
        <f t="shared" si="34"/>
        <v>47.5</v>
      </c>
      <c r="M549">
        <f t="shared" si="35"/>
        <v>61.72</v>
      </c>
    </row>
    <row r="550" spans="1:13" x14ac:dyDescent="0.45">
      <c r="A550">
        <v>549</v>
      </c>
      <c r="B550" t="s">
        <v>15</v>
      </c>
      <c r="C550">
        <v>813</v>
      </c>
      <c r="D550">
        <v>66</v>
      </c>
      <c r="E550">
        <v>24</v>
      </c>
      <c r="F550">
        <v>21</v>
      </c>
      <c r="G550" t="s">
        <v>14</v>
      </c>
      <c r="H550" t="s">
        <v>16</v>
      </c>
      <c r="I550" t="s">
        <v>16</v>
      </c>
      <c r="J550">
        <f t="shared" si="32"/>
        <v>59.4</v>
      </c>
      <c r="K550">
        <f t="shared" si="33"/>
        <v>42.9</v>
      </c>
      <c r="L550">
        <f t="shared" si="34"/>
        <v>43</v>
      </c>
      <c r="M550">
        <f t="shared" si="35"/>
        <v>42.94</v>
      </c>
    </row>
    <row r="551" spans="1:13" x14ac:dyDescent="0.45">
      <c r="A551">
        <v>550</v>
      </c>
      <c r="B551" t="s">
        <v>13</v>
      </c>
      <c r="C551">
        <v>1782</v>
      </c>
      <c r="D551">
        <v>74</v>
      </c>
      <c r="E551">
        <v>44</v>
      </c>
      <c r="F551">
        <v>23</v>
      </c>
      <c r="G551" t="s">
        <v>16</v>
      </c>
      <c r="H551" t="s">
        <v>16</v>
      </c>
      <c r="I551" t="s">
        <v>16</v>
      </c>
      <c r="J551">
        <f t="shared" si="32"/>
        <v>74</v>
      </c>
      <c r="K551">
        <f t="shared" si="33"/>
        <v>64.7</v>
      </c>
      <c r="L551">
        <f t="shared" si="34"/>
        <v>37</v>
      </c>
      <c r="M551">
        <f t="shared" si="35"/>
        <v>53.620000000000005</v>
      </c>
    </row>
    <row r="552" spans="1:13" x14ac:dyDescent="0.45">
      <c r="A552">
        <v>551</v>
      </c>
      <c r="B552" t="s">
        <v>15</v>
      </c>
      <c r="C552">
        <v>1325</v>
      </c>
      <c r="D552">
        <v>59</v>
      </c>
      <c r="E552">
        <v>58</v>
      </c>
      <c r="F552">
        <v>16</v>
      </c>
      <c r="G552" t="s">
        <v>14</v>
      </c>
      <c r="H552" t="s">
        <v>16</v>
      </c>
      <c r="I552" t="s">
        <v>14</v>
      </c>
      <c r="J552">
        <f t="shared" si="32"/>
        <v>53.1</v>
      </c>
      <c r="K552">
        <f t="shared" si="33"/>
        <v>82.4</v>
      </c>
      <c r="L552">
        <f t="shared" si="34"/>
        <v>39.5</v>
      </c>
      <c r="M552">
        <f t="shared" si="35"/>
        <v>65.240000000000009</v>
      </c>
    </row>
    <row r="553" spans="1:13" x14ac:dyDescent="0.45">
      <c r="A553">
        <v>552</v>
      </c>
      <c r="B553" t="s">
        <v>17</v>
      </c>
      <c r="C553">
        <v>363</v>
      </c>
      <c r="D553">
        <v>91</v>
      </c>
      <c r="E553">
        <v>21</v>
      </c>
      <c r="F553">
        <v>33</v>
      </c>
      <c r="G553" t="s">
        <v>14</v>
      </c>
      <c r="H553" t="s">
        <v>14</v>
      </c>
      <c r="I553" t="s">
        <v>14</v>
      </c>
      <c r="J553">
        <f t="shared" si="32"/>
        <v>110.11000000000001</v>
      </c>
      <c r="K553">
        <f t="shared" si="33"/>
        <v>60.7</v>
      </c>
      <c r="L553">
        <f t="shared" si="34"/>
        <v>60.5</v>
      </c>
      <c r="M553">
        <f t="shared" si="35"/>
        <v>60.620000000000005</v>
      </c>
    </row>
    <row r="554" spans="1:13" x14ac:dyDescent="0.45">
      <c r="A554">
        <v>553</v>
      </c>
      <c r="B554" t="s">
        <v>17</v>
      </c>
      <c r="C554">
        <v>1734</v>
      </c>
      <c r="D554">
        <v>56</v>
      </c>
      <c r="E554">
        <v>24</v>
      </c>
      <c r="F554">
        <v>37</v>
      </c>
      <c r="G554" t="s">
        <v>16</v>
      </c>
      <c r="H554" t="s">
        <v>16</v>
      </c>
      <c r="I554" t="s">
        <v>14</v>
      </c>
      <c r="J554">
        <f t="shared" si="32"/>
        <v>61.600000000000009</v>
      </c>
      <c r="K554">
        <f t="shared" si="33"/>
        <v>67.3</v>
      </c>
      <c r="L554">
        <f t="shared" si="34"/>
        <v>28</v>
      </c>
      <c r="M554">
        <f t="shared" si="35"/>
        <v>51.58</v>
      </c>
    </row>
    <row r="555" spans="1:13" x14ac:dyDescent="0.45">
      <c r="A555">
        <v>554</v>
      </c>
      <c r="B555" t="s">
        <v>17</v>
      </c>
      <c r="C555">
        <v>935</v>
      </c>
      <c r="D555">
        <v>76</v>
      </c>
      <c r="E555">
        <v>49</v>
      </c>
      <c r="F555">
        <v>18</v>
      </c>
      <c r="G555" t="s">
        <v>14</v>
      </c>
      <c r="H555" t="s">
        <v>16</v>
      </c>
      <c r="I555" t="s">
        <v>14</v>
      </c>
      <c r="J555">
        <f t="shared" si="32"/>
        <v>83.600000000000009</v>
      </c>
      <c r="K555">
        <f t="shared" si="33"/>
        <v>75.2</v>
      </c>
      <c r="L555">
        <f t="shared" si="34"/>
        <v>48</v>
      </c>
      <c r="M555">
        <f t="shared" si="35"/>
        <v>64.319999999999993</v>
      </c>
    </row>
    <row r="556" spans="1:13" x14ac:dyDescent="0.45">
      <c r="A556">
        <v>555</v>
      </c>
      <c r="B556" t="s">
        <v>17</v>
      </c>
      <c r="C556">
        <v>1352</v>
      </c>
      <c r="D556">
        <v>41</v>
      </c>
      <c r="E556">
        <v>31</v>
      </c>
      <c r="F556">
        <v>26</v>
      </c>
      <c r="G556" t="s">
        <v>14</v>
      </c>
      <c r="H556" t="s">
        <v>16</v>
      </c>
      <c r="I556" t="s">
        <v>14</v>
      </c>
      <c r="J556">
        <f t="shared" si="32"/>
        <v>45.1</v>
      </c>
      <c r="K556">
        <f t="shared" si="33"/>
        <v>64.400000000000006</v>
      </c>
      <c r="L556">
        <f t="shared" si="34"/>
        <v>30.5</v>
      </c>
      <c r="M556">
        <f t="shared" si="35"/>
        <v>50.84</v>
      </c>
    </row>
    <row r="557" spans="1:13" x14ac:dyDescent="0.45">
      <c r="A557">
        <v>556</v>
      </c>
      <c r="B557" t="s">
        <v>13</v>
      </c>
      <c r="C557">
        <v>937</v>
      </c>
      <c r="D557">
        <v>40</v>
      </c>
      <c r="E557">
        <v>56</v>
      </c>
      <c r="F557">
        <v>31</v>
      </c>
      <c r="G557" t="s">
        <v>14</v>
      </c>
      <c r="H557" t="s">
        <v>14</v>
      </c>
      <c r="I557" t="s">
        <v>14</v>
      </c>
      <c r="J557">
        <f t="shared" si="32"/>
        <v>44</v>
      </c>
      <c r="K557">
        <f t="shared" si="33"/>
        <v>93.9</v>
      </c>
      <c r="L557">
        <f t="shared" si="34"/>
        <v>35</v>
      </c>
      <c r="M557">
        <f t="shared" si="35"/>
        <v>70.34</v>
      </c>
    </row>
    <row r="558" spans="1:13" x14ac:dyDescent="0.45">
      <c r="A558">
        <v>557</v>
      </c>
      <c r="B558" t="s">
        <v>15</v>
      </c>
      <c r="C558">
        <v>236</v>
      </c>
      <c r="D558">
        <v>92</v>
      </c>
      <c r="E558">
        <v>46</v>
      </c>
      <c r="F558">
        <v>15</v>
      </c>
      <c r="G558" t="s">
        <v>14</v>
      </c>
      <c r="H558" t="s">
        <v>16</v>
      </c>
      <c r="I558" t="s">
        <v>16</v>
      </c>
      <c r="J558">
        <f t="shared" si="32"/>
        <v>82.8</v>
      </c>
      <c r="K558">
        <f t="shared" si="33"/>
        <v>59.5</v>
      </c>
      <c r="L558">
        <f t="shared" si="34"/>
        <v>56</v>
      </c>
      <c r="M558">
        <f t="shared" si="35"/>
        <v>58.099999999999994</v>
      </c>
    </row>
    <row r="559" spans="1:13" x14ac:dyDescent="0.45">
      <c r="A559">
        <v>558</v>
      </c>
      <c r="B559" t="s">
        <v>17</v>
      </c>
      <c r="C559">
        <v>1114</v>
      </c>
      <c r="D559">
        <v>89</v>
      </c>
      <c r="E559">
        <v>42</v>
      </c>
      <c r="F559">
        <v>19</v>
      </c>
      <c r="G559" t="s">
        <v>16</v>
      </c>
      <c r="H559" t="s">
        <v>16</v>
      </c>
      <c r="I559" t="s">
        <v>14</v>
      </c>
      <c r="J559">
        <f t="shared" si="32"/>
        <v>97.9</v>
      </c>
      <c r="K559">
        <f t="shared" si="33"/>
        <v>69.099999999999994</v>
      </c>
      <c r="L559">
        <f t="shared" si="34"/>
        <v>44.5</v>
      </c>
      <c r="M559">
        <f t="shared" si="35"/>
        <v>59.259999999999991</v>
      </c>
    </row>
    <row r="560" spans="1:13" x14ac:dyDescent="0.45">
      <c r="A560">
        <v>559</v>
      </c>
      <c r="B560" t="s">
        <v>17</v>
      </c>
      <c r="C560">
        <v>1311</v>
      </c>
      <c r="D560">
        <v>65</v>
      </c>
      <c r="E560">
        <v>45</v>
      </c>
      <c r="F560">
        <v>22</v>
      </c>
      <c r="G560" t="s">
        <v>14</v>
      </c>
      <c r="H560" t="s">
        <v>16</v>
      </c>
      <c r="I560" t="s">
        <v>16</v>
      </c>
      <c r="J560">
        <f t="shared" si="32"/>
        <v>71.5</v>
      </c>
      <c r="K560">
        <f t="shared" si="33"/>
        <v>64.8</v>
      </c>
      <c r="L560">
        <f t="shared" si="34"/>
        <v>42.5</v>
      </c>
      <c r="M560">
        <f t="shared" si="35"/>
        <v>55.879999999999995</v>
      </c>
    </row>
    <row r="561" spans="1:13" x14ac:dyDescent="0.45">
      <c r="A561">
        <v>560</v>
      </c>
      <c r="B561" t="s">
        <v>17</v>
      </c>
      <c r="C561">
        <v>385</v>
      </c>
      <c r="D561">
        <v>62</v>
      </c>
      <c r="E561">
        <v>40</v>
      </c>
      <c r="F561">
        <v>34</v>
      </c>
      <c r="G561" t="s">
        <v>16</v>
      </c>
      <c r="H561" t="s">
        <v>14</v>
      </c>
      <c r="I561" t="s">
        <v>16</v>
      </c>
      <c r="J561">
        <f t="shared" si="32"/>
        <v>75.02000000000001</v>
      </c>
      <c r="K561">
        <f t="shared" si="33"/>
        <v>70.599999999999994</v>
      </c>
      <c r="L561">
        <f t="shared" si="34"/>
        <v>36</v>
      </c>
      <c r="M561">
        <f t="shared" si="35"/>
        <v>56.759999999999991</v>
      </c>
    </row>
    <row r="562" spans="1:13" x14ac:dyDescent="0.45">
      <c r="A562">
        <v>561</v>
      </c>
      <c r="B562" t="s">
        <v>13</v>
      </c>
      <c r="C562">
        <v>1208</v>
      </c>
      <c r="D562">
        <v>91</v>
      </c>
      <c r="E562">
        <v>25</v>
      </c>
      <c r="F562">
        <v>26</v>
      </c>
      <c r="G562" t="s">
        <v>16</v>
      </c>
      <c r="H562" t="s">
        <v>14</v>
      </c>
      <c r="I562" t="s">
        <v>14</v>
      </c>
      <c r="J562">
        <f t="shared" si="32"/>
        <v>100.10000000000001</v>
      </c>
      <c r="K562">
        <f t="shared" si="33"/>
        <v>58.4</v>
      </c>
      <c r="L562">
        <f t="shared" si="34"/>
        <v>50.5</v>
      </c>
      <c r="M562">
        <f t="shared" si="35"/>
        <v>55.24</v>
      </c>
    </row>
    <row r="563" spans="1:13" x14ac:dyDescent="0.45">
      <c r="A563">
        <v>562</v>
      </c>
      <c r="B563" t="s">
        <v>17</v>
      </c>
      <c r="C563">
        <v>1121</v>
      </c>
      <c r="D563">
        <v>43</v>
      </c>
      <c r="E563">
        <v>43</v>
      </c>
      <c r="F563">
        <v>15</v>
      </c>
      <c r="G563" t="s">
        <v>16</v>
      </c>
      <c r="H563" t="s">
        <v>16</v>
      </c>
      <c r="I563" t="s">
        <v>16</v>
      </c>
      <c r="J563">
        <f t="shared" si="32"/>
        <v>47.300000000000004</v>
      </c>
      <c r="K563">
        <f t="shared" si="33"/>
        <v>56.5</v>
      </c>
      <c r="L563">
        <f t="shared" si="34"/>
        <v>21.5</v>
      </c>
      <c r="M563">
        <f t="shared" si="35"/>
        <v>42.5</v>
      </c>
    </row>
    <row r="564" spans="1:13" x14ac:dyDescent="0.45">
      <c r="A564">
        <v>563</v>
      </c>
      <c r="B564" t="s">
        <v>17</v>
      </c>
      <c r="C564">
        <v>1035</v>
      </c>
      <c r="D564">
        <v>71</v>
      </c>
      <c r="E564">
        <v>29</v>
      </c>
      <c r="F564">
        <v>26</v>
      </c>
      <c r="G564" t="s">
        <v>14</v>
      </c>
      <c r="H564" t="s">
        <v>16</v>
      </c>
      <c r="I564" t="s">
        <v>16</v>
      </c>
      <c r="J564">
        <f t="shared" si="32"/>
        <v>78.100000000000009</v>
      </c>
      <c r="K564">
        <f t="shared" si="33"/>
        <v>52.4</v>
      </c>
      <c r="L564">
        <f t="shared" si="34"/>
        <v>45.5</v>
      </c>
      <c r="M564">
        <f t="shared" si="35"/>
        <v>49.64</v>
      </c>
    </row>
    <row r="565" spans="1:13" x14ac:dyDescent="0.45">
      <c r="A565">
        <v>564</v>
      </c>
      <c r="B565" t="s">
        <v>13</v>
      </c>
      <c r="C565">
        <v>845</v>
      </c>
      <c r="D565">
        <v>63</v>
      </c>
      <c r="E565">
        <v>28</v>
      </c>
      <c r="F565">
        <v>24</v>
      </c>
      <c r="G565" t="s">
        <v>14</v>
      </c>
      <c r="H565" t="s">
        <v>14</v>
      </c>
      <c r="I565" t="s">
        <v>14</v>
      </c>
      <c r="J565">
        <f t="shared" si="32"/>
        <v>69.300000000000011</v>
      </c>
      <c r="K565">
        <f t="shared" si="33"/>
        <v>59.6</v>
      </c>
      <c r="L565">
        <f t="shared" si="34"/>
        <v>46.5</v>
      </c>
      <c r="M565">
        <f t="shared" si="35"/>
        <v>54.36</v>
      </c>
    </row>
    <row r="566" spans="1:13" x14ac:dyDescent="0.45">
      <c r="A566">
        <v>565</v>
      </c>
      <c r="B566" t="s">
        <v>15</v>
      </c>
      <c r="C566">
        <v>862</v>
      </c>
      <c r="D566">
        <v>46</v>
      </c>
      <c r="E566">
        <v>38</v>
      </c>
      <c r="F566">
        <v>39</v>
      </c>
      <c r="G566" t="s">
        <v>16</v>
      </c>
      <c r="H566" t="s">
        <v>16</v>
      </c>
      <c r="I566" t="s">
        <v>16</v>
      </c>
      <c r="J566">
        <f t="shared" si="32"/>
        <v>41.4</v>
      </c>
      <c r="K566">
        <f t="shared" si="33"/>
        <v>73.099999999999994</v>
      </c>
      <c r="L566">
        <f t="shared" si="34"/>
        <v>23</v>
      </c>
      <c r="M566">
        <f t="shared" si="35"/>
        <v>53.059999999999995</v>
      </c>
    </row>
    <row r="567" spans="1:13" x14ac:dyDescent="0.45">
      <c r="A567">
        <v>566</v>
      </c>
      <c r="B567" t="s">
        <v>15</v>
      </c>
      <c r="C567">
        <v>881</v>
      </c>
      <c r="D567">
        <v>80</v>
      </c>
      <c r="E567">
        <v>41</v>
      </c>
      <c r="F567">
        <v>15</v>
      </c>
      <c r="G567" t="s">
        <v>16</v>
      </c>
      <c r="H567" t="s">
        <v>16</v>
      </c>
      <c r="I567" t="s">
        <v>16</v>
      </c>
      <c r="J567">
        <f t="shared" si="32"/>
        <v>72</v>
      </c>
      <c r="K567">
        <f t="shared" si="33"/>
        <v>54.5</v>
      </c>
      <c r="L567">
        <f t="shared" si="34"/>
        <v>40</v>
      </c>
      <c r="M567">
        <f t="shared" si="35"/>
        <v>48.699999999999996</v>
      </c>
    </row>
    <row r="568" spans="1:13" x14ac:dyDescent="0.45">
      <c r="A568">
        <v>567</v>
      </c>
      <c r="B568" t="s">
        <v>13</v>
      </c>
      <c r="C568">
        <v>1658</v>
      </c>
      <c r="D568">
        <v>79</v>
      </c>
      <c r="E568">
        <v>28</v>
      </c>
      <c r="F568">
        <v>40</v>
      </c>
      <c r="G568" t="s">
        <v>14</v>
      </c>
      <c r="H568" t="s">
        <v>14</v>
      </c>
      <c r="I568" t="s">
        <v>14</v>
      </c>
      <c r="J568">
        <f t="shared" si="32"/>
        <v>86.9</v>
      </c>
      <c r="K568">
        <f t="shared" si="33"/>
        <v>74</v>
      </c>
      <c r="L568">
        <f t="shared" si="34"/>
        <v>54.5</v>
      </c>
      <c r="M568">
        <f t="shared" si="35"/>
        <v>66.2</v>
      </c>
    </row>
    <row r="569" spans="1:13" x14ac:dyDescent="0.45">
      <c r="A569">
        <v>568</v>
      </c>
      <c r="B569" t="s">
        <v>13</v>
      </c>
      <c r="C569">
        <v>1485</v>
      </c>
      <c r="D569">
        <v>48</v>
      </c>
      <c r="E569">
        <v>32</v>
      </c>
      <c r="F569">
        <v>20</v>
      </c>
      <c r="G569" t="s">
        <v>16</v>
      </c>
      <c r="H569" t="s">
        <v>14</v>
      </c>
      <c r="I569" t="s">
        <v>16</v>
      </c>
      <c r="J569">
        <f t="shared" si="32"/>
        <v>52.800000000000004</v>
      </c>
      <c r="K569">
        <f t="shared" si="33"/>
        <v>50</v>
      </c>
      <c r="L569">
        <f t="shared" si="34"/>
        <v>29</v>
      </c>
      <c r="M569">
        <f t="shared" si="35"/>
        <v>41.6</v>
      </c>
    </row>
    <row r="570" spans="1:13" x14ac:dyDescent="0.45">
      <c r="A570">
        <v>569</v>
      </c>
      <c r="B570" t="s">
        <v>17</v>
      </c>
      <c r="C570">
        <v>1064</v>
      </c>
      <c r="D570">
        <v>63</v>
      </c>
      <c r="E570">
        <v>50</v>
      </c>
      <c r="F570">
        <v>26</v>
      </c>
      <c r="G570" t="s">
        <v>16</v>
      </c>
      <c r="H570" t="s">
        <v>16</v>
      </c>
      <c r="I570" t="s">
        <v>14</v>
      </c>
      <c r="J570">
        <f t="shared" si="32"/>
        <v>69.300000000000011</v>
      </c>
      <c r="K570">
        <f t="shared" si="33"/>
        <v>83.4</v>
      </c>
      <c r="L570">
        <f t="shared" si="34"/>
        <v>31.5</v>
      </c>
      <c r="M570">
        <f t="shared" si="35"/>
        <v>62.64</v>
      </c>
    </row>
    <row r="571" spans="1:13" x14ac:dyDescent="0.45">
      <c r="A571">
        <v>570</v>
      </c>
      <c r="B571" t="s">
        <v>13</v>
      </c>
      <c r="C571">
        <v>1635</v>
      </c>
      <c r="D571">
        <v>43</v>
      </c>
      <c r="E571">
        <v>51</v>
      </c>
      <c r="F571">
        <v>26</v>
      </c>
      <c r="G571" t="s">
        <v>14</v>
      </c>
      <c r="H571" t="s">
        <v>16</v>
      </c>
      <c r="I571" t="s">
        <v>14</v>
      </c>
      <c r="J571">
        <f t="shared" si="32"/>
        <v>43</v>
      </c>
      <c r="K571">
        <f t="shared" si="33"/>
        <v>84.4</v>
      </c>
      <c r="L571">
        <f t="shared" si="34"/>
        <v>31.5</v>
      </c>
      <c r="M571">
        <f t="shared" si="35"/>
        <v>63.24</v>
      </c>
    </row>
    <row r="572" spans="1:13" x14ac:dyDescent="0.45">
      <c r="A572">
        <v>571</v>
      </c>
      <c r="B572" t="s">
        <v>17</v>
      </c>
      <c r="C572">
        <v>319</v>
      </c>
      <c r="D572">
        <v>52</v>
      </c>
      <c r="E572">
        <v>54</v>
      </c>
      <c r="F572">
        <v>33</v>
      </c>
      <c r="G572" t="s">
        <v>16</v>
      </c>
      <c r="H572" t="s">
        <v>14</v>
      </c>
      <c r="I572" t="s">
        <v>16</v>
      </c>
      <c r="J572">
        <f t="shared" si="32"/>
        <v>62.920000000000009</v>
      </c>
      <c r="K572">
        <f t="shared" si="33"/>
        <v>83.7</v>
      </c>
      <c r="L572">
        <f t="shared" si="34"/>
        <v>31</v>
      </c>
      <c r="M572">
        <f t="shared" si="35"/>
        <v>62.62</v>
      </c>
    </row>
    <row r="573" spans="1:13" x14ac:dyDescent="0.45">
      <c r="A573">
        <v>572</v>
      </c>
      <c r="B573" t="s">
        <v>15</v>
      </c>
      <c r="C573">
        <v>251</v>
      </c>
      <c r="D573">
        <v>78</v>
      </c>
      <c r="E573">
        <v>35</v>
      </c>
      <c r="F573">
        <v>23</v>
      </c>
      <c r="G573" t="s">
        <v>14</v>
      </c>
      <c r="H573" t="s">
        <v>14</v>
      </c>
      <c r="I573" t="s">
        <v>14</v>
      </c>
      <c r="J573">
        <f t="shared" si="32"/>
        <v>77.220000000000013</v>
      </c>
      <c r="K573">
        <f t="shared" si="33"/>
        <v>65.7</v>
      </c>
      <c r="L573">
        <f t="shared" si="34"/>
        <v>54</v>
      </c>
      <c r="M573">
        <f t="shared" si="35"/>
        <v>61.02</v>
      </c>
    </row>
    <row r="574" spans="1:13" x14ac:dyDescent="0.45">
      <c r="A574">
        <v>573</v>
      </c>
      <c r="B574" t="s">
        <v>15</v>
      </c>
      <c r="C574">
        <v>1340</v>
      </c>
      <c r="D574">
        <v>90</v>
      </c>
      <c r="E574">
        <v>25</v>
      </c>
      <c r="F574">
        <v>20</v>
      </c>
      <c r="G574" t="s">
        <v>16</v>
      </c>
      <c r="H574" t="s">
        <v>16</v>
      </c>
      <c r="I574" t="s">
        <v>16</v>
      </c>
      <c r="J574">
        <f t="shared" si="32"/>
        <v>81</v>
      </c>
      <c r="K574">
        <f t="shared" si="33"/>
        <v>43</v>
      </c>
      <c r="L574">
        <f t="shared" si="34"/>
        <v>45</v>
      </c>
      <c r="M574">
        <f t="shared" si="35"/>
        <v>43.8</v>
      </c>
    </row>
    <row r="575" spans="1:13" x14ac:dyDescent="0.45">
      <c r="A575">
        <v>574</v>
      </c>
      <c r="B575" t="s">
        <v>13</v>
      </c>
      <c r="C575">
        <v>1347</v>
      </c>
      <c r="D575">
        <v>47</v>
      </c>
      <c r="E575">
        <v>31</v>
      </c>
      <c r="F575">
        <v>38</v>
      </c>
      <c r="G575" t="s">
        <v>14</v>
      </c>
      <c r="H575" t="s">
        <v>16</v>
      </c>
      <c r="I575" t="s">
        <v>14</v>
      </c>
      <c r="J575">
        <f t="shared" si="32"/>
        <v>47</v>
      </c>
      <c r="K575">
        <f t="shared" si="33"/>
        <v>75.2</v>
      </c>
      <c r="L575">
        <f t="shared" si="34"/>
        <v>33.5</v>
      </c>
      <c r="M575">
        <f t="shared" si="35"/>
        <v>58.519999999999996</v>
      </c>
    </row>
    <row r="576" spans="1:13" x14ac:dyDescent="0.45">
      <c r="A576">
        <v>575</v>
      </c>
      <c r="B576" t="s">
        <v>15</v>
      </c>
      <c r="C576">
        <v>258</v>
      </c>
      <c r="D576">
        <v>70</v>
      </c>
      <c r="E576">
        <v>42</v>
      </c>
      <c r="F576">
        <v>27</v>
      </c>
      <c r="G576" t="s">
        <v>16</v>
      </c>
      <c r="H576" t="s">
        <v>14</v>
      </c>
      <c r="I576" t="s">
        <v>14</v>
      </c>
      <c r="J576">
        <f t="shared" si="32"/>
        <v>69.300000000000011</v>
      </c>
      <c r="K576">
        <f t="shared" si="33"/>
        <v>76.3</v>
      </c>
      <c r="L576">
        <f t="shared" si="34"/>
        <v>40</v>
      </c>
      <c r="M576">
        <f t="shared" si="35"/>
        <v>61.779999999999994</v>
      </c>
    </row>
    <row r="577" spans="1:13" x14ac:dyDescent="0.45">
      <c r="A577">
        <v>576</v>
      </c>
      <c r="B577" t="s">
        <v>13</v>
      </c>
      <c r="C577">
        <v>1281</v>
      </c>
      <c r="D577">
        <v>81</v>
      </c>
      <c r="E577">
        <v>21</v>
      </c>
      <c r="F577">
        <v>38</v>
      </c>
      <c r="G577" t="s">
        <v>14</v>
      </c>
      <c r="H577" t="s">
        <v>14</v>
      </c>
      <c r="I577" t="s">
        <v>16</v>
      </c>
      <c r="J577">
        <f t="shared" si="32"/>
        <v>89.100000000000009</v>
      </c>
      <c r="K577">
        <f t="shared" si="33"/>
        <v>55.2</v>
      </c>
      <c r="L577">
        <f t="shared" si="34"/>
        <v>55.5</v>
      </c>
      <c r="M577">
        <f t="shared" si="35"/>
        <v>55.32</v>
      </c>
    </row>
    <row r="578" spans="1:13" x14ac:dyDescent="0.45">
      <c r="A578">
        <v>577</v>
      </c>
      <c r="B578" t="s">
        <v>17</v>
      </c>
      <c r="C578">
        <v>1479</v>
      </c>
      <c r="D578">
        <v>88</v>
      </c>
      <c r="E578">
        <v>25</v>
      </c>
      <c r="F578">
        <v>18</v>
      </c>
      <c r="G578" t="s">
        <v>16</v>
      </c>
      <c r="H578" t="s">
        <v>14</v>
      </c>
      <c r="I578" t="s">
        <v>14</v>
      </c>
      <c r="J578">
        <f t="shared" ref="J578:J616" si="36">D578*(IF(B578="Residential",0.9,IF(B578="Commercial",1,IF(B578="Infrastructure",1.1,1))))*(IF(H578="Yes",1.1,1))</f>
        <v>106.48000000000002</v>
      </c>
      <c r="K578">
        <f t="shared" ref="K578:K616" si="37">MIN((((E578*100)+(F578*90))/100)+IF(I578="Yes",10,0),100)</f>
        <v>51.2</v>
      </c>
      <c r="L578">
        <f t="shared" ref="L578:L616" si="38">MIN((D578*0.5)+IF(G578="Yes",10,0)+IF(H578="Yes",5,0),100)</f>
        <v>49</v>
      </c>
      <c r="M578">
        <f t="shared" ref="M578:M616" si="39">MIN((K578*0.6)+(L578*0.4),100)</f>
        <v>50.32</v>
      </c>
    </row>
    <row r="579" spans="1:13" x14ac:dyDescent="0.45">
      <c r="A579">
        <v>578</v>
      </c>
      <c r="B579" t="s">
        <v>13</v>
      </c>
      <c r="C579">
        <v>681</v>
      </c>
      <c r="D579">
        <v>67</v>
      </c>
      <c r="E579">
        <v>50</v>
      </c>
      <c r="F579">
        <v>20</v>
      </c>
      <c r="G579" t="s">
        <v>16</v>
      </c>
      <c r="H579" t="s">
        <v>16</v>
      </c>
      <c r="I579" t="s">
        <v>14</v>
      </c>
      <c r="J579">
        <f t="shared" si="36"/>
        <v>67</v>
      </c>
      <c r="K579">
        <f t="shared" si="37"/>
        <v>78</v>
      </c>
      <c r="L579">
        <f t="shared" si="38"/>
        <v>33.5</v>
      </c>
      <c r="M579">
        <f t="shared" si="39"/>
        <v>60.199999999999996</v>
      </c>
    </row>
    <row r="580" spans="1:13" x14ac:dyDescent="0.45">
      <c r="A580">
        <v>579</v>
      </c>
      <c r="B580" t="s">
        <v>13</v>
      </c>
      <c r="C580">
        <v>1025</v>
      </c>
      <c r="D580">
        <v>41</v>
      </c>
      <c r="E580">
        <v>38</v>
      </c>
      <c r="F580">
        <v>16</v>
      </c>
      <c r="G580" t="s">
        <v>16</v>
      </c>
      <c r="H580" t="s">
        <v>14</v>
      </c>
      <c r="I580" t="s">
        <v>14</v>
      </c>
      <c r="J580">
        <f t="shared" si="36"/>
        <v>45.1</v>
      </c>
      <c r="K580">
        <f t="shared" si="37"/>
        <v>62.4</v>
      </c>
      <c r="L580">
        <f t="shared" si="38"/>
        <v>25.5</v>
      </c>
      <c r="M580">
        <f t="shared" si="39"/>
        <v>47.64</v>
      </c>
    </row>
    <row r="581" spans="1:13" x14ac:dyDescent="0.45">
      <c r="A581">
        <v>580</v>
      </c>
      <c r="B581" t="s">
        <v>17</v>
      </c>
      <c r="C581">
        <v>1626</v>
      </c>
      <c r="D581">
        <v>70</v>
      </c>
      <c r="E581">
        <v>57</v>
      </c>
      <c r="F581">
        <v>21</v>
      </c>
      <c r="G581" t="s">
        <v>14</v>
      </c>
      <c r="H581" t="s">
        <v>14</v>
      </c>
      <c r="I581" t="s">
        <v>16</v>
      </c>
      <c r="J581">
        <f t="shared" si="36"/>
        <v>84.7</v>
      </c>
      <c r="K581">
        <f t="shared" si="37"/>
        <v>75.900000000000006</v>
      </c>
      <c r="L581">
        <f t="shared" si="38"/>
        <v>50</v>
      </c>
      <c r="M581">
        <f t="shared" si="39"/>
        <v>65.539999999999992</v>
      </c>
    </row>
    <row r="582" spans="1:13" x14ac:dyDescent="0.45">
      <c r="A582">
        <v>581</v>
      </c>
      <c r="B582" t="s">
        <v>13</v>
      </c>
      <c r="C582">
        <v>1896</v>
      </c>
      <c r="D582">
        <v>59</v>
      </c>
      <c r="E582">
        <v>42</v>
      </c>
      <c r="F582">
        <v>32</v>
      </c>
      <c r="G582" t="s">
        <v>16</v>
      </c>
      <c r="H582" t="s">
        <v>16</v>
      </c>
      <c r="I582" t="s">
        <v>14</v>
      </c>
      <c r="J582">
        <f t="shared" si="36"/>
        <v>59</v>
      </c>
      <c r="K582">
        <f t="shared" si="37"/>
        <v>80.8</v>
      </c>
      <c r="L582">
        <f t="shared" si="38"/>
        <v>29.5</v>
      </c>
      <c r="M582">
        <f t="shared" si="39"/>
        <v>60.28</v>
      </c>
    </row>
    <row r="583" spans="1:13" x14ac:dyDescent="0.45">
      <c r="A583">
        <v>582</v>
      </c>
      <c r="B583" t="s">
        <v>13</v>
      </c>
      <c r="C583">
        <v>1645</v>
      </c>
      <c r="D583">
        <v>85</v>
      </c>
      <c r="E583">
        <v>51</v>
      </c>
      <c r="F583">
        <v>26</v>
      </c>
      <c r="G583" t="s">
        <v>14</v>
      </c>
      <c r="H583" t="s">
        <v>16</v>
      </c>
      <c r="I583" t="s">
        <v>16</v>
      </c>
      <c r="J583">
        <f t="shared" si="36"/>
        <v>85</v>
      </c>
      <c r="K583">
        <f t="shared" si="37"/>
        <v>74.400000000000006</v>
      </c>
      <c r="L583">
        <f t="shared" si="38"/>
        <v>52.5</v>
      </c>
      <c r="M583">
        <f t="shared" si="39"/>
        <v>65.64</v>
      </c>
    </row>
    <row r="584" spans="1:13" x14ac:dyDescent="0.45">
      <c r="A584">
        <v>583</v>
      </c>
      <c r="B584" t="s">
        <v>17</v>
      </c>
      <c r="C584">
        <v>522</v>
      </c>
      <c r="D584">
        <v>84</v>
      </c>
      <c r="E584">
        <v>43</v>
      </c>
      <c r="F584">
        <v>36</v>
      </c>
      <c r="G584" t="s">
        <v>16</v>
      </c>
      <c r="H584" t="s">
        <v>16</v>
      </c>
      <c r="I584" t="s">
        <v>16</v>
      </c>
      <c r="J584">
        <f t="shared" si="36"/>
        <v>92.4</v>
      </c>
      <c r="K584">
        <f t="shared" si="37"/>
        <v>75.400000000000006</v>
      </c>
      <c r="L584">
        <f t="shared" si="38"/>
        <v>42</v>
      </c>
      <c r="M584">
        <f t="shared" si="39"/>
        <v>62.040000000000006</v>
      </c>
    </row>
    <row r="585" spans="1:13" x14ac:dyDescent="0.45">
      <c r="A585">
        <v>584</v>
      </c>
      <c r="B585" t="s">
        <v>15</v>
      </c>
      <c r="C585">
        <v>1387</v>
      </c>
      <c r="D585">
        <v>44</v>
      </c>
      <c r="E585">
        <v>58</v>
      </c>
      <c r="F585">
        <v>32</v>
      </c>
      <c r="G585" t="s">
        <v>16</v>
      </c>
      <c r="H585" t="s">
        <v>14</v>
      </c>
      <c r="I585" t="s">
        <v>14</v>
      </c>
      <c r="J585">
        <f t="shared" si="36"/>
        <v>43.56</v>
      </c>
      <c r="K585">
        <f t="shared" si="37"/>
        <v>96.8</v>
      </c>
      <c r="L585">
        <f t="shared" si="38"/>
        <v>27</v>
      </c>
      <c r="M585">
        <f t="shared" si="39"/>
        <v>68.88</v>
      </c>
    </row>
    <row r="586" spans="1:13" x14ac:dyDescent="0.45">
      <c r="A586">
        <v>585</v>
      </c>
      <c r="B586" t="s">
        <v>15</v>
      </c>
      <c r="C586">
        <v>747</v>
      </c>
      <c r="D586">
        <v>94</v>
      </c>
      <c r="E586">
        <v>46</v>
      </c>
      <c r="F586">
        <v>18</v>
      </c>
      <c r="G586" t="s">
        <v>16</v>
      </c>
      <c r="H586" t="s">
        <v>16</v>
      </c>
      <c r="I586" t="s">
        <v>14</v>
      </c>
      <c r="J586">
        <f t="shared" si="36"/>
        <v>84.600000000000009</v>
      </c>
      <c r="K586">
        <f t="shared" si="37"/>
        <v>72.2</v>
      </c>
      <c r="L586">
        <f t="shared" si="38"/>
        <v>47</v>
      </c>
      <c r="M586">
        <f t="shared" si="39"/>
        <v>62.120000000000005</v>
      </c>
    </row>
    <row r="587" spans="1:13" x14ac:dyDescent="0.45">
      <c r="A587">
        <v>586</v>
      </c>
      <c r="B587" t="s">
        <v>13</v>
      </c>
      <c r="C587">
        <v>1362</v>
      </c>
      <c r="D587">
        <v>40</v>
      </c>
      <c r="E587">
        <v>41</v>
      </c>
      <c r="F587">
        <v>40</v>
      </c>
      <c r="G587" t="s">
        <v>16</v>
      </c>
      <c r="H587" t="s">
        <v>14</v>
      </c>
      <c r="I587" t="s">
        <v>14</v>
      </c>
      <c r="J587">
        <f t="shared" si="36"/>
        <v>44</v>
      </c>
      <c r="K587">
        <f t="shared" si="37"/>
        <v>87</v>
      </c>
      <c r="L587">
        <f t="shared" si="38"/>
        <v>25</v>
      </c>
      <c r="M587">
        <f t="shared" si="39"/>
        <v>62.199999999999996</v>
      </c>
    </row>
    <row r="588" spans="1:13" x14ac:dyDescent="0.45">
      <c r="A588">
        <v>587</v>
      </c>
      <c r="B588" t="s">
        <v>17</v>
      </c>
      <c r="C588">
        <v>1257</v>
      </c>
      <c r="D588">
        <v>90</v>
      </c>
      <c r="E588">
        <v>22</v>
      </c>
      <c r="F588">
        <v>30</v>
      </c>
      <c r="G588" t="s">
        <v>14</v>
      </c>
      <c r="H588" t="s">
        <v>16</v>
      </c>
      <c r="I588" t="s">
        <v>16</v>
      </c>
      <c r="J588">
        <f t="shared" si="36"/>
        <v>99.000000000000014</v>
      </c>
      <c r="K588">
        <f t="shared" si="37"/>
        <v>49</v>
      </c>
      <c r="L588">
        <f t="shared" si="38"/>
        <v>55</v>
      </c>
      <c r="M588">
        <f t="shared" si="39"/>
        <v>51.4</v>
      </c>
    </row>
    <row r="589" spans="1:13" x14ac:dyDescent="0.45">
      <c r="A589">
        <v>588</v>
      </c>
      <c r="B589" t="s">
        <v>15</v>
      </c>
      <c r="C589">
        <v>1387</v>
      </c>
      <c r="D589">
        <v>93</v>
      </c>
      <c r="E589">
        <v>34</v>
      </c>
      <c r="F589">
        <v>29</v>
      </c>
      <c r="G589" t="s">
        <v>16</v>
      </c>
      <c r="H589" t="s">
        <v>14</v>
      </c>
      <c r="I589" t="s">
        <v>16</v>
      </c>
      <c r="J589">
        <f t="shared" si="36"/>
        <v>92.070000000000007</v>
      </c>
      <c r="K589">
        <f t="shared" si="37"/>
        <v>60.1</v>
      </c>
      <c r="L589">
        <f t="shared" si="38"/>
        <v>51.5</v>
      </c>
      <c r="M589">
        <f t="shared" si="39"/>
        <v>56.660000000000004</v>
      </c>
    </row>
    <row r="590" spans="1:13" x14ac:dyDescent="0.45">
      <c r="A590">
        <v>589</v>
      </c>
      <c r="B590" t="s">
        <v>13</v>
      </c>
      <c r="C590">
        <v>251</v>
      </c>
      <c r="D590">
        <v>80</v>
      </c>
      <c r="E590">
        <v>59</v>
      </c>
      <c r="F590">
        <v>24</v>
      </c>
      <c r="G590" t="s">
        <v>16</v>
      </c>
      <c r="H590" t="s">
        <v>14</v>
      </c>
      <c r="I590" t="s">
        <v>14</v>
      </c>
      <c r="J590">
        <f t="shared" si="36"/>
        <v>88</v>
      </c>
      <c r="K590">
        <f t="shared" si="37"/>
        <v>90.6</v>
      </c>
      <c r="L590">
        <f t="shared" si="38"/>
        <v>45</v>
      </c>
      <c r="M590">
        <f t="shared" si="39"/>
        <v>72.359999999999985</v>
      </c>
    </row>
    <row r="591" spans="1:13" x14ac:dyDescent="0.45">
      <c r="A591">
        <v>590</v>
      </c>
      <c r="B591" t="s">
        <v>15</v>
      </c>
      <c r="C591">
        <v>150</v>
      </c>
      <c r="D591">
        <v>41</v>
      </c>
      <c r="E591">
        <v>34</v>
      </c>
      <c r="F591">
        <v>31</v>
      </c>
      <c r="G591" t="s">
        <v>14</v>
      </c>
      <c r="H591" t="s">
        <v>16</v>
      </c>
      <c r="I591" t="s">
        <v>14</v>
      </c>
      <c r="J591">
        <f t="shared" si="36"/>
        <v>36.9</v>
      </c>
      <c r="K591">
        <f t="shared" si="37"/>
        <v>71.900000000000006</v>
      </c>
      <c r="L591">
        <f t="shared" si="38"/>
        <v>30.5</v>
      </c>
      <c r="M591">
        <f t="shared" si="39"/>
        <v>55.34</v>
      </c>
    </row>
    <row r="592" spans="1:13" x14ac:dyDescent="0.45">
      <c r="A592">
        <v>591</v>
      </c>
      <c r="B592" t="s">
        <v>17</v>
      </c>
      <c r="C592">
        <v>1052</v>
      </c>
      <c r="D592">
        <v>69</v>
      </c>
      <c r="E592">
        <v>22</v>
      </c>
      <c r="F592">
        <v>26</v>
      </c>
      <c r="G592" t="s">
        <v>16</v>
      </c>
      <c r="H592" t="s">
        <v>16</v>
      </c>
      <c r="I592" t="s">
        <v>16</v>
      </c>
      <c r="J592">
        <f t="shared" si="36"/>
        <v>75.900000000000006</v>
      </c>
      <c r="K592">
        <f t="shared" si="37"/>
        <v>45.4</v>
      </c>
      <c r="L592">
        <f t="shared" si="38"/>
        <v>34.5</v>
      </c>
      <c r="M592">
        <f t="shared" si="39"/>
        <v>41.04</v>
      </c>
    </row>
    <row r="593" spans="1:13" x14ac:dyDescent="0.45">
      <c r="A593">
        <v>592</v>
      </c>
      <c r="B593" t="s">
        <v>13</v>
      </c>
      <c r="C593">
        <v>730</v>
      </c>
      <c r="D593">
        <v>54</v>
      </c>
      <c r="E593">
        <v>28</v>
      </c>
      <c r="F593">
        <v>20</v>
      </c>
      <c r="G593" t="s">
        <v>14</v>
      </c>
      <c r="H593" t="s">
        <v>14</v>
      </c>
      <c r="I593" t="s">
        <v>14</v>
      </c>
      <c r="J593">
        <f t="shared" si="36"/>
        <v>59.400000000000006</v>
      </c>
      <c r="K593">
        <f t="shared" si="37"/>
        <v>56</v>
      </c>
      <c r="L593">
        <f t="shared" si="38"/>
        <v>42</v>
      </c>
      <c r="M593">
        <f t="shared" si="39"/>
        <v>50.400000000000006</v>
      </c>
    </row>
    <row r="594" spans="1:13" x14ac:dyDescent="0.45">
      <c r="A594">
        <v>593</v>
      </c>
      <c r="B594" t="s">
        <v>13</v>
      </c>
      <c r="C594">
        <v>922</v>
      </c>
      <c r="D594">
        <v>69</v>
      </c>
      <c r="E594">
        <v>48</v>
      </c>
      <c r="F594">
        <v>18</v>
      </c>
      <c r="G594" t="s">
        <v>14</v>
      </c>
      <c r="H594" t="s">
        <v>16</v>
      </c>
      <c r="I594" t="s">
        <v>14</v>
      </c>
      <c r="J594">
        <f t="shared" si="36"/>
        <v>69</v>
      </c>
      <c r="K594">
        <f t="shared" si="37"/>
        <v>74.2</v>
      </c>
      <c r="L594">
        <f t="shared" si="38"/>
        <v>44.5</v>
      </c>
      <c r="M594">
        <f t="shared" si="39"/>
        <v>62.320000000000007</v>
      </c>
    </row>
    <row r="595" spans="1:13" x14ac:dyDescent="0.45">
      <c r="A595">
        <v>594</v>
      </c>
      <c r="B595" t="s">
        <v>15</v>
      </c>
      <c r="C595">
        <v>1951</v>
      </c>
      <c r="D595">
        <v>79</v>
      </c>
      <c r="E595">
        <v>40</v>
      </c>
      <c r="F595">
        <v>39</v>
      </c>
      <c r="G595" t="s">
        <v>14</v>
      </c>
      <c r="H595" t="s">
        <v>16</v>
      </c>
      <c r="I595" t="s">
        <v>14</v>
      </c>
      <c r="J595">
        <f t="shared" si="36"/>
        <v>71.100000000000009</v>
      </c>
      <c r="K595">
        <f t="shared" si="37"/>
        <v>85.1</v>
      </c>
      <c r="L595">
        <f t="shared" si="38"/>
        <v>49.5</v>
      </c>
      <c r="M595">
        <f t="shared" si="39"/>
        <v>70.86</v>
      </c>
    </row>
    <row r="596" spans="1:13" x14ac:dyDescent="0.45">
      <c r="A596">
        <v>595</v>
      </c>
      <c r="B596" t="s">
        <v>13</v>
      </c>
      <c r="C596">
        <v>956</v>
      </c>
      <c r="D596">
        <v>81</v>
      </c>
      <c r="E596">
        <v>40</v>
      </c>
      <c r="F596">
        <v>15</v>
      </c>
      <c r="G596" t="s">
        <v>14</v>
      </c>
      <c r="H596" t="s">
        <v>14</v>
      </c>
      <c r="I596" t="s">
        <v>16</v>
      </c>
      <c r="J596">
        <f t="shared" si="36"/>
        <v>89.100000000000009</v>
      </c>
      <c r="K596">
        <f t="shared" si="37"/>
        <v>53.5</v>
      </c>
      <c r="L596">
        <f t="shared" si="38"/>
        <v>55.5</v>
      </c>
      <c r="M596">
        <f t="shared" si="39"/>
        <v>54.300000000000004</v>
      </c>
    </row>
    <row r="597" spans="1:13" x14ac:dyDescent="0.45">
      <c r="A597">
        <v>596</v>
      </c>
      <c r="B597" t="s">
        <v>13</v>
      </c>
      <c r="C597">
        <v>631</v>
      </c>
      <c r="D597">
        <v>89</v>
      </c>
      <c r="E597">
        <v>26</v>
      </c>
      <c r="F597">
        <v>34</v>
      </c>
      <c r="G597" t="s">
        <v>16</v>
      </c>
      <c r="H597" t="s">
        <v>16</v>
      </c>
      <c r="I597" t="s">
        <v>14</v>
      </c>
      <c r="J597">
        <f t="shared" si="36"/>
        <v>89</v>
      </c>
      <c r="K597">
        <f t="shared" si="37"/>
        <v>66.599999999999994</v>
      </c>
      <c r="L597">
        <f t="shared" si="38"/>
        <v>44.5</v>
      </c>
      <c r="M597">
        <f t="shared" si="39"/>
        <v>57.759999999999991</v>
      </c>
    </row>
    <row r="598" spans="1:13" x14ac:dyDescent="0.45">
      <c r="A598">
        <v>597</v>
      </c>
      <c r="B598" t="s">
        <v>15</v>
      </c>
      <c r="C598">
        <v>425</v>
      </c>
      <c r="D598">
        <v>42</v>
      </c>
      <c r="E598">
        <v>27</v>
      </c>
      <c r="F598">
        <v>28</v>
      </c>
      <c r="G598" t="s">
        <v>14</v>
      </c>
      <c r="H598" t="s">
        <v>14</v>
      </c>
      <c r="I598" t="s">
        <v>16</v>
      </c>
      <c r="J598">
        <f t="shared" si="36"/>
        <v>41.580000000000005</v>
      </c>
      <c r="K598">
        <f t="shared" si="37"/>
        <v>52.2</v>
      </c>
      <c r="L598">
        <f t="shared" si="38"/>
        <v>36</v>
      </c>
      <c r="M598">
        <f t="shared" si="39"/>
        <v>45.72</v>
      </c>
    </row>
    <row r="599" spans="1:13" x14ac:dyDescent="0.45">
      <c r="A599">
        <v>598</v>
      </c>
      <c r="B599" t="s">
        <v>15</v>
      </c>
      <c r="C599">
        <v>1959</v>
      </c>
      <c r="D599">
        <v>60</v>
      </c>
      <c r="E599">
        <v>52</v>
      </c>
      <c r="F599">
        <v>29</v>
      </c>
      <c r="G599" t="s">
        <v>16</v>
      </c>
      <c r="H599" t="s">
        <v>14</v>
      </c>
      <c r="I599" t="s">
        <v>16</v>
      </c>
      <c r="J599">
        <f t="shared" si="36"/>
        <v>59.400000000000006</v>
      </c>
      <c r="K599">
        <f t="shared" si="37"/>
        <v>78.099999999999994</v>
      </c>
      <c r="L599">
        <f t="shared" si="38"/>
        <v>35</v>
      </c>
      <c r="M599">
        <f t="shared" si="39"/>
        <v>60.859999999999992</v>
      </c>
    </row>
    <row r="600" spans="1:13" x14ac:dyDescent="0.45">
      <c r="A600">
        <v>599</v>
      </c>
      <c r="B600" t="s">
        <v>13</v>
      </c>
      <c r="C600">
        <v>512</v>
      </c>
      <c r="D600">
        <v>91</v>
      </c>
      <c r="E600">
        <v>44</v>
      </c>
      <c r="F600">
        <v>21</v>
      </c>
      <c r="G600" t="s">
        <v>14</v>
      </c>
      <c r="H600" t="s">
        <v>16</v>
      </c>
      <c r="I600" t="s">
        <v>14</v>
      </c>
      <c r="J600">
        <f t="shared" si="36"/>
        <v>91</v>
      </c>
      <c r="K600">
        <f t="shared" si="37"/>
        <v>72.900000000000006</v>
      </c>
      <c r="L600">
        <f t="shared" si="38"/>
        <v>55.5</v>
      </c>
      <c r="M600">
        <f t="shared" si="39"/>
        <v>65.94</v>
      </c>
    </row>
    <row r="601" spans="1:13" x14ac:dyDescent="0.45">
      <c r="A601">
        <v>600</v>
      </c>
      <c r="B601" t="s">
        <v>17</v>
      </c>
      <c r="C601">
        <v>697</v>
      </c>
      <c r="D601">
        <v>89</v>
      </c>
      <c r="E601">
        <v>39</v>
      </c>
      <c r="F601">
        <v>40</v>
      </c>
      <c r="G601" t="s">
        <v>16</v>
      </c>
      <c r="H601" t="s">
        <v>14</v>
      </c>
      <c r="I601" t="s">
        <v>16</v>
      </c>
      <c r="J601">
        <f t="shared" si="36"/>
        <v>107.69000000000001</v>
      </c>
      <c r="K601">
        <f t="shared" si="37"/>
        <v>75</v>
      </c>
      <c r="L601">
        <f t="shared" si="38"/>
        <v>49.5</v>
      </c>
      <c r="M601">
        <f t="shared" si="39"/>
        <v>64.8</v>
      </c>
    </row>
    <row r="602" spans="1:13" x14ac:dyDescent="0.45">
      <c r="A602">
        <v>601</v>
      </c>
      <c r="B602" t="s">
        <v>13</v>
      </c>
      <c r="C602">
        <v>1575</v>
      </c>
      <c r="D602">
        <v>75</v>
      </c>
      <c r="E602">
        <v>22</v>
      </c>
      <c r="F602">
        <v>31</v>
      </c>
      <c r="G602" t="s">
        <v>16</v>
      </c>
      <c r="H602" t="s">
        <v>14</v>
      </c>
      <c r="I602" t="s">
        <v>14</v>
      </c>
      <c r="J602">
        <f t="shared" si="36"/>
        <v>82.5</v>
      </c>
      <c r="K602">
        <f t="shared" si="37"/>
        <v>59.9</v>
      </c>
      <c r="L602">
        <f t="shared" si="38"/>
        <v>42.5</v>
      </c>
      <c r="M602">
        <f t="shared" si="39"/>
        <v>52.94</v>
      </c>
    </row>
    <row r="603" spans="1:13" x14ac:dyDescent="0.45">
      <c r="A603">
        <v>602</v>
      </c>
      <c r="B603" t="s">
        <v>13</v>
      </c>
      <c r="C603">
        <v>454</v>
      </c>
      <c r="D603">
        <v>44</v>
      </c>
      <c r="E603">
        <v>33</v>
      </c>
      <c r="F603">
        <v>18</v>
      </c>
      <c r="G603" t="s">
        <v>16</v>
      </c>
      <c r="H603" t="s">
        <v>14</v>
      </c>
      <c r="I603" t="s">
        <v>14</v>
      </c>
      <c r="J603">
        <f t="shared" si="36"/>
        <v>48.400000000000006</v>
      </c>
      <c r="K603">
        <f t="shared" si="37"/>
        <v>59.2</v>
      </c>
      <c r="L603">
        <f t="shared" si="38"/>
        <v>27</v>
      </c>
      <c r="M603">
        <f t="shared" si="39"/>
        <v>46.320000000000007</v>
      </c>
    </row>
    <row r="604" spans="1:13" x14ac:dyDescent="0.45">
      <c r="A604">
        <v>603</v>
      </c>
      <c r="B604" t="s">
        <v>17</v>
      </c>
      <c r="C604">
        <v>482</v>
      </c>
      <c r="D604">
        <v>50</v>
      </c>
      <c r="E604">
        <v>30</v>
      </c>
      <c r="F604">
        <v>20</v>
      </c>
      <c r="G604" t="s">
        <v>16</v>
      </c>
      <c r="H604" t="s">
        <v>16</v>
      </c>
      <c r="I604" t="s">
        <v>16</v>
      </c>
      <c r="J604">
        <f t="shared" si="36"/>
        <v>55.000000000000007</v>
      </c>
      <c r="K604">
        <f t="shared" si="37"/>
        <v>48</v>
      </c>
      <c r="L604">
        <f t="shared" si="38"/>
        <v>25</v>
      </c>
      <c r="M604">
        <f t="shared" si="39"/>
        <v>38.799999999999997</v>
      </c>
    </row>
    <row r="605" spans="1:13" x14ac:dyDescent="0.45">
      <c r="A605">
        <v>604</v>
      </c>
      <c r="B605" t="s">
        <v>15</v>
      </c>
      <c r="C605">
        <v>789</v>
      </c>
      <c r="D605">
        <v>69</v>
      </c>
      <c r="E605">
        <v>44</v>
      </c>
      <c r="F605">
        <v>22</v>
      </c>
      <c r="G605" t="s">
        <v>16</v>
      </c>
      <c r="H605" t="s">
        <v>16</v>
      </c>
      <c r="I605" t="s">
        <v>14</v>
      </c>
      <c r="J605">
        <f t="shared" si="36"/>
        <v>62.1</v>
      </c>
      <c r="K605">
        <f t="shared" si="37"/>
        <v>73.8</v>
      </c>
      <c r="L605">
        <f t="shared" si="38"/>
        <v>34.5</v>
      </c>
      <c r="M605">
        <f t="shared" si="39"/>
        <v>58.08</v>
      </c>
    </row>
    <row r="606" spans="1:13" x14ac:dyDescent="0.45">
      <c r="A606">
        <v>605</v>
      </c>
      <c r="B606" t="s">
        <v>17</v>
      </c>
      <c r="C606">
        <v>1188</v>
      </c>
      <c r="D606">
        <v>50</v>
      </c>
      <c r="E606">
        <v>37</v>
      </c>
      <c r="F606">
        <v>39</v>
      </c>
      <c r="G606" t="s">
        <v>14</v>
      </c>
      <c r="H606" t="s">
        <v>16</v>
      </c>
      <c r="I606" t="s">
        <v>14</v>
      </c>
      <c r="J606">
        <f t="shared" si="36"/>
        <v>55.000000000000007</v>
      </c>
      <c r="K606">
        <f t="shared" si="37"/>
        <v>82.1</v>
      </c>
      <c r="L606">
        <f t="shared" si="38"/>
        <v>35</v>
      </c>
      <c r="M606">
        <f t="shared" si="39"/>
        <v>63.26</v>
      </c>
    </row>
    <row r="607" spans="1:13" x14ac:dyDescent="0.45">
      <c r="A607">
        <v>606</v>
      </c>
      <c r="B607" t="s">
        <v>13</v>
      </c>
      <c r="C607">
        <v>1855</v>
      </c>
      <c r="D607">
        <v>43</v>
      </c>
      <c r="E607">
        <v>29</v>
      </c>
      <c r="F607">
        <v>40</v>
      </c>
      <c r="G607" t="s">
        <v>16</v>
      </c>
      <c r="H607" t="s">
        <v>14</v>
      </c>
      <c r="I607" t="s">
        <v>16</v>
      </c>
      <c r="J607">
        <f t="shared" si="36"/>
        <v>47.300000000000004</v>
      </c>
      <c r="K607">
        <f t="shared" si="37"/>
        <v>65</v>
      </c>
      <c r="L607">
        <f t="shared" si="38"/>
        <v>26.5</v>
      </c>
      <c r="M607">
        <f t="shared" si="39"/>
        <v>49.6</v>
      </c>
    </row>
    <row r="608" spans="1:13" x14ac:dyDescent="0.45">
      <c r="A608">
        <v>607</v>
      </c>
      <c r="B608" t="s">
        <v>13</v>
      </c>
      <c r="C608">
        <v>425</v>
      </c>
      <c r="D608">
        <v>77</v>
      </c>
      <c r="E608">
        <v>49</v>
      </c>
      <c r="F608">
        <v>19</v>
      </c>
      <c r="G608" t="s">
        <v>16</v>
      </c>
      <c r="H608" t="s">
        <v>16</v>
      </c>
      <c r="I608" t="s">
        <v>16</v>
      </c>
      <c r="J608">
        <f t="shared" si="36"/>
        <v>77</v>
      </c>
      <c r="K608">
        <f t="shared" si="37"/>
        <v>66.099999999999994</v>
      </c>
      <c r="L608">
        <f t="shared" si="38"/>
        <v>38.5</v>
      </c>
      <c r="M608">
        <f t="shared" si="39"/>
        <v>55.059999999999995</v>
      </c>
    </row>
    <row r="609" spans="1:13" x14ac:dyDescent="0.45">
      <c r="A609">
        <v>608</v>
      </c>
      <c r="B609" t="s">
        <v>15</v>
      </c>
      <c r="C609">
        <v>455</v>
      </c>
      <c r="D609">
        <v>64</v>
      </c>
      <c r="E609">
        <v>29</v>
      </c>
      <c r="F609">
        <v>26</v>
      </c>
      <c r="G609" t="s">
        <v>16</v>
      </c>
      <c r="H609" t="s">
        <v>14</v>
      </c>
      <c r="I609" t="s">
        <v>14</v>
      </c>
      <c r="J609">
        <f t="shared" si="36"/>
        <v>63.360000000000007</v>
      </c>
      <c r="K609">
        <f t="shared" si="37"/>
        <v>62.4</v>
      </c>
      <c r="L609">
        <f t="shared" si="38"/>
        <v>37</v>
      </c>
      <c r="M609">
        <f t="shared" si="39"/>
        <v>52.239999999999995</v>
      </c>
    </row>
    <row r="610" spans="1:13" x14ac:dyDescent="0.45">
      <c r="A610">
        <v>609</v>
      </c>
      <c r="B610" t="s">
        <v>13</v>
      </c>
      <c r="C610">
        <v>547</v>
      </c>
      <c r="D610">
        <v>86</v>
      </c>
      <c r="E610">
        <v>23</v>
      </c>
      <c r="F610">
        <v>36</v>
      </c>
      <c r="G610" t="s">
        <v>16</v>
      </c>
      <c r="H610" t="s">
        <v>16</v>
      </c>
      <c r="I610" t="s">
        <v>14</v>
      </c>
      <c r="J610">
        <f t="shared" si="36"/>
        <v>86</v>
      </c>
      <c r="K610">
        <f t="shared" si="37"/>
        <v>65.400000000000006</v>
      </c>
      <c r="L610">
        <f t="shared" si="38"/>
        <v>43</v>
      </c>
      <c r="M610">
        <f t="shared" si="39"/>
        <v>56.44</v>
      </c>
    </row>
    <row r="611" spans="1:13" x14ac:dyDescent="0.45">
      <c r="A611">
        <v>610</v>
      </c>
      <c r="B611" t="s">
        <v>17</v>
      </c>
      <c r="C611">
        <v>226</v>
      </c>
      <c r="D611">
        <v>85</v>
      </c>
      <c r="E611">
        <v>56</v>
      </c>
      <c r="F611">
        <v>23</v>
      </c>
      <c r="G611" t="s">
        <v>14</v>
      </c>
      <c r="H611" t="s">
        <v>16</v>
      </c>
      <c r="I611" t="s">
        <v>14</v>
      </c>
      <c r="J611">
        <f t="shared" si="36"/>
        <v>93.500000000000014</v>
      </c>
      <c r="K611">
        <f t="shared" si="37"/>
        <v>86.7</v>
      </c>
      <c r="L611">
        <f t="shared" si="38"/>
        <v>52.5</v>
      </c>
      <c r="M611">
        <f t="shared" si="39"/>
        <v>73.02000000000001</v>
      </c>
    </row>
    <row r="612" spans="1:13" x14ac:dyDescent="0.45">
      <c r="A612">
        <v>611</v>
      </c>
      <c r="B612" t="s">
        <v>15</v>
      </c>
      <c r="C612">
        <v>1809</v>
      </c>
      <c r="D612">
        <v>54</v>
      </c>
      <c r="E612">
        <v>58</v>
      </c>
      <c r="F612">
        <v>29</v>
      </c>
      <c r="G612" t="s">
        <v>16</v>
      </c>
      <c r="H612" t="s">
        <v>14</v>
      </c>
      <c r="I612" t="s">
        <v>14</v>
      </c>
      <c r="J612">
        <f t="shared" si="36"/>
        <v>53.460000000000008</v>
      </c>
      <c r="K612">
        <f t="shared" si="37"/>
        <v>94.1</v>
      </c>
      <c r="L612">
        <f t="shared" si="38"/>
        <v>32</v>
      </c>
      <c r="M612">
        <f t="shared" si="39"/>
        <v>69.259999999999991</v>
      </c>
    </row>
    <row r="613" spans="1:13" x14ac:dyDescent="0.45">
      <c r="A613">
        <v>612</v>
      </c>
      <c r="B613" t="s">
        <v>15</v>
      </c>
      <c r="C613">
        <v>1234</v>
      </c>
      <c r="D613">
        <v>95</v>
      </c>
      <c r="E613">
        <v>29</v>
      </c>
      <c r="F613">
        <v>23</v>
      </c>
      <c r="G613" t="s">
        <v>16</v>
      </c>
      <c r="H613" t="s">
        <v>14</v>
      </c>
      <c r="I613" t="s">
        <v>16</v>
      </c>
      <c r="J613">
        <f t="shared" si="36"/>
        <v>94.050000000000011</v>
      </c>
      <c r="K613">
        <f t="shared" si="37"/>
        <v>49.7</v>
      </c>
      <c r="L613">
        <f t="shared" si="38"/>
        <v>52.5</v>
      </c>
      <c r="M613">
        <f t="shared" si="39"/>
        <v>50.82</v>
      </c>
    </row>
    <row r="614" spans="1:13" x14ac:dyDescent="0.45">
      <c r="A614">
        <v>613</v>
      </c>
      <c r="B614" t="s">
        <v>15</v>
      </c>
      <c r="C614">
        <v>804</v>
      </c>
      <c r="D614">
        <v>85</v>
      </c>
      <c r="E614">
        <v>40</v>
      </c>
      <c r="F614">
        <v>15</v>
      </c>
      <c r="G614" t="s">
        <v>14</v>
      </c>
      <c r="H614" t="s">
        <v>16</v>
      </c>
      <c r="I614" t="s">
        <v>16</v>
      </c>
      <c r="J614">
        <f t="shared" si="36"/>
        <v>76.5</v>
      </c>
      <c r="K614">
        <f t="shared" si="37"/>
        <v>53.5</v>
      </c>
      <c r="L614">
        <f t="shared" si="38"/>
        <v>52.5</v>
      </c>
      <c r="M614">
        <f t="shared" si="39"/>
        <v>53.1</v>
      </c>
    </row>
    <row r="615" spans="1:13" x14ac:dyDescent="0.45">
      <c r="A615">
        <v>614</v>
      </c>
      <c r="B615" t="s">
        <v>17</v>
      </c>
      <c r="C615">
        <v>335</v>
      </c>
      <c r="D615">
        <v>77</v>
      </c>
      <c r="E615">
        <v>28</v>
      </c>
      <c r="F615">
        <v>30</v>
      </c>
      <c r="G615" t="s">
        <v>14</v>
      </c>
      <c r="H615" t="s">
        <v>14</v>
      </c>
      <c r="I615" t="s">
        <v>14</v>
      </c>
      <c r="J615">
        <f t="shared" si="36"/>
        <v>93.170000000000016</v>
      </c>
      <c r="K615">
        <f t="shared" si="37"/>
        <v>65</v>
      </c>
      <c r="L615">
        <f t="shared" si="38"/>
        <v>53.5</v>
      </c>
      <c r="M615">
        <f t="shared" si="39"/>
        <v>60.400000000000006</v>
      </c>
    </row>
    <row r="616" spans="1:13" x14ac:dyDescent="0.45">
      <c r="A616">
        <v>615</v>
      </c>
      <c r="B616" t="s">
        <v>13</v>
      </c>
      <c r="C616">
        <v>1492</v>
      </c>
      <c r="D616">
        <v>54</v>
      </c>
      <c r="E616">
        <v>21</v>
      </c>
      <c r="F616">
        <v>22</v>
      </c>
      <c r="G616" t="s">
        <v>16</v>
      </c>
      <c r="H616" t="s">
        <v>16</v>
      </c>
      <c r="I616" t="s">
        <v>16</v>
      </c>
      <c r="J616">
        <f t="shared" si="36"/>
        <v>54</v>
      </c>
      <c r="K616">
        <f t="shared" si="37"/>
        <v>40.799999999999997</v>
      </c>
      <c r="L616">
        <f t="shared" si="38"/>
        <v>27</v>
      </c>
      <c r="M616">
        <f t="shared" si="39"/>
        <v>35.28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 x14ac:dyDescent="0.45"/>
  <sheetData>
    <row r="1" spans="1:2" x14ac:dyDescent="0.45">
      <c r="A1" s="1" t="s">
        <v>18</v>
      </c>
    </row>
    <row r="3" spans="1:2" x14ac:dyDescent="0.45">
      <c r="A3" t="s">
        <v>9</v>
      </c>
      <c r="B3" t="s">
        <v>19</v>
      </c>
    </row>
    <row r="4" spans="1:2" x14ac:dyDescent="0.45">
      <c r="A4" t="s">
        <v>20</v>
      </c>
      <c r="B4" t="s">
        <v>21</v>
      </c>
    </row>
    <row r="5" spans="1:2" x14ac:dyDescent="0.45">
      <c r="A5" t="s">
        <v>22</v>
      </c>
      <c r="B5" t="s">
        <v>23</v>
      </c>
    </row>
    <row r="6" spans="1:2" x14ac:dyDescent="0.45">
      <c r="A6" t="s">
        <v>24</v>
      </c>
      <c r="B6" t="s">
        <v>25</v>
      </c>
    </row>
    <row r="7" spans="1:2" x14ac:dyDescent="0.45">
      <c r="A7" t="s">
        <v>26</v>
      </c>
      <c r="B7" t="s">
        <v>25</v>
      </c>
    </row>
    <row r="8" spans="1:2" x14ac:dyDescent="0.45">
      <c r="A8" t="s">
        <v>27</v>
      </c>
      <c r="B8" t="s">
        <v>28</v>
      </c>
    </row>
    <row r="9" spans="1:2" x14ac:dyDescent="0.45">
      <c r="A9" t="s">
        <v>29</v>
      </c>
      <c r="B9" t="s">
        <v>30</v>
      </c>
    </row>
    <row r="10" spans="1:2" x14ac:dyDescent="0.45">
      <c r="A10" t="s">
        <v>31</v>
      </c>
      <c r="B10" t="s">
        <v>32</v>
      </c>
    </row>
    <row r="11" spans="1:2" x14ac:dyDescent="0.45">
      <c r="A11" t="s">
        <v>33</v>
      </c>
      <c r="B11" t="s">
        <v>30</v>
      </c>
    </row>
    <row r="12" spans="1:2" x14ac:dyDescent="0.45">
      <c r="A12" t="s">
        <v>34</v>
      </c>
      <c r="B12" t="s">
        <v>35</v>
      </c>
    </row>
    <row r="13" spans="1:2" x14ac:dyDescent="0.45">
      <c r="A13" t="s">
        <v>12</v>
      </c>
      <c r="B13" t="s">
        <v>36</v>
      </c>
    </row>
    <row r="14" spans="1:2" x14ac:dyDescent="0.45">
      <c r="A14" t="s">
        <v>37</v>
      </c>
      <c r="B1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Construction CE Dataset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Suchith N S</cp:lastModifiedBy>
  <dcterms:created xsi:type="dcterms:W3CDTF">2026-06-09T09:45:22Z</dcterms:created>
  <dcterms:modified xsi:type="dcterms:W3CDTF">2026-06-29T19:14:52Z</dcterms:modified>
</cp:coreProperties>
</file>